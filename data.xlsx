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cuments\Cours Dauphine\Bayesian techniques in macroeconomics\Projet\"/>
    </mc:Choice>
  </mc:AlternateContent>
  <xr:revisionPtr revIDLastSave="0" documentId="13_ncr:1_{D4E86AFA-C7A6-4E9F-A9DA-16EBD5543522}" xr6:coauthVersionLast="47" xr6:coauthVersionMax="47" xr10:uidLastSave="{00000000-0000-0000-0000-000000000000}"/>
  <bookViews>
    <workbookView xWindow="-98" yWindow="-98" windowWidth="21795" windowHeight="12975" activeTab="2" xr2:uid="{203B7B4C-29DA-2149-BA6E-936E0C2F6A87}"/>
  </bookViews>
  <sheets>
    <sheet name="Metadata" sheetId="2" r:id="rId1"/>
    <sheet name="data_raw" sheetId="4" r:id="rId2"/>
    <sheet name="computations" sheetId="1" r:id="rId3"/>
    <sheet name="data_clea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5" i="1" l="1"/>
  <c r="I295" i="1"/>
  <c r="H295" i="1"/>
  <c r="L295" i="1"/>
  <c r="K295" i="1"/>
  <c r="J295" i="1"/>
  <c r="G294" i="1"/>
  <c r="J294" i="1" s="1"/>
  <c r="H2" i="1"/>
  <c r="K2" i="1"/>
  <c r="J5" i="1"/>
  <c r="I5" i="1"/>
  <c r="H5" i="1"/>
  <c r="I4" i="1"/>
  <c r="G2" i="1"/>
  <c r="J2" i="1" s="1"/>
  <c r="G16" i="1"/>
  <c r="G3" i="1"/>
  <c r="J3" i="1" s="1"/>
  <c r="J16" i="1"/>
  <c r="G4" i="1"/>
  <c r="J4" i="1" s="1"/>
  <c r="G5" i="1"/>
  <c r="G6" i="1"/>
  <c r="J6" i="1" s="1"/>
  <c r="G7" i="1"/>
  <c r="J7" i="1" s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7" i="1"/>
  <c r="J17" i="1" s="1"/>
  <c r="G18" i="1"/>
  <c r="J18" i="1" s="1"/>
  <c r="G19" i="1"/>
  <c r="J19" i="1" s="1"/>
  <c r="G20" i="1"/>
  <c r="J20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J28" i="1" s="1"/>
  <c r="G29" i="1"/>
  <c r="J29" i="1" s="1"/>
  <c r="G30" i="1"/>
  <c r="J30" i="1" s="1"/>
  <c r="G31" i="1"/>
  <c r="J31" i="1" s="1"/>
  <c r="G32" i="1"/>
  <c r="J32" i="1" s="1"/>
  <c r="G33" i="1"/>
  <c r="J33" i="1" s="1"/>
  <c r="G34" i="1"/>
  <c r="J34" i="1" s="1"/>
  <c r="G35" i="1"/>
  <c r="J35" i="1" s="1"/>
  <c r="G36" i="1"/>
  <c r="J36" i="1" s="1"/>
  <c r="G37" i="1"/>
  <c r="J37" i="1" s="1"/>
  <c r="G38" i="1"/>
  <c r="J38" i="1" s="1"/>
  <c r="G39" i="1"/>
  <c r="J39" i="1" s="1"/>
  <c r="G40" i="1"/>
  <c r="J40" i="1" s="1"/>
  <c r="G41" i="1"/>
  <c r="J41" i="1" s="1"/>
  <c r="G42" i="1"/>
  <c r="J42" i="1" s="1"/>
  <c r="G43" i="1"/>
  <c r="J43" i="1" s="1"/>
  <c r="G44" i="1"/>
  <c r="J44" i="1" s="1"/>
  <c r="G45" i="1"/>
  <c r="J45" i="1" s="1"/>
  <c r="G46" i="1"/>
  <c r="J46" i="1" s="1"/>
  <c r="G47" i="1"/>
  <c r="J47" i="1" s="1"/>
  <c r="G48" i="1"/>
  <c r="J48" i="1" s="1"/>
  <c r="G49" i="1"/>
  <c r="J49" i="1" s="1"/>
  <c r="G50" i="1"/>
  <c r="J50" i="1" s="1"/>
  <c r="G51" i="1"/>
  <c r="J51" i="1" s="1"/>
  <c r="G52" i="1"/>
  <c r="J52" i="1" s="1"/>
  <c r="G53" i="1"/>
  <c r="J53" i="1" s="1"/>
  <c r="G54" i="1"/>
  <c r="J54" i="1" s="1"/>
  <c r="G55" i="1"/>
  <c r="J55" i="1" s="1"/>
  <c r="G56" i="1"/>
  <c r="J56" i="1" s="1"/>
  <c r="G57" i="1"/>
  <c r="J57" i="1" s="1"/>
  <c r="G58" i="1"/>
  <c r="J58" i="1" s="1"/>
  <c r="G59" i="1"/>
  <c r="J59" i="1" s="1"/>
  <c r="G60" i="1"/>
  <c r="J60" i="1" s="1"/>
  <c r="G61" i="1"/>
  <c r="J61" i="1" s="1"/>
  <c r="G62" i="1"/>
  <c r="J62" i="1" s="1"/>
  <c r="G63" i="1"/>
  <c r="J63" i="1" s="1"/>
  <c r="G64" i="1"/>
  <c r="J64" i="1" s="1"/>
  <c r="G65" i="1"/>
  <c r="J65" i="1" s="1"/>
  <c r="G66" i="1"/>
  <c r="J66" i="1" s="1"/>
  <c r="G67" i="1"/>
  <c r="J67" i="1" s="1"/>
  <c r="G68" i="1"/>
  <c r="J68" i="1" s="1"/>
  <c r="G69" i="1"/>
  <c r="J69" i="1" s="1"/>
  <c r="G70" i="1"/>
  <c r="J70" i="1" s="1"/>
  <c r="G71" i="1"/>
  <c r="J71" i="1" s="1"/>
  <c r="G72" i="1"/>
  <c r="J72" i="1" s="1"/>
  <c r="G73" i="1"/>
  <c r="J73" i="1" s="1"/>
  <c r="G74" i="1"/>
  <c r="J74" i="1" s="1"/>
  <c r="G75" i="1"/>
  <c r="J75" i="1" s="1"/>
  <c r="G76" i="1"/>
  <c r="J76" i="1" s="1"/>
  <c r="G77" i="1"/>
  <c r="J77" i="1" s="1"/>
  <c r="G78" i="1"/>
  <c r="J78" i="1" s="1"/>
  <c r="G79" i="1"/>
  <c r="J79" i="1" s="1"/>
  <c r="G80" i="1"/>
  <c r="J80" i="1" s="1"/>
  <c r="G81" i="1"/>
  <c r="J81" i="1" s="1"/>
  <c r="G82" i="1"/>
  <c r="J82" i="1" s="1"/>
  <c r="G83" i="1"/>
  <c r="J83" i="1" s="1"/>
  <c r="G84" i="1"/>
  <c r="J84" i="1" s="1"/>
  <c r="G85" i="1"/>
  <c r="J85" i="1" s="1"/>
  <c r="G86" i="1"/>
  <c r="J86" i="1" s="1"/>
  <c r="G87" i="1"/>
  <c r="J87" i="1" s="1"/>
  <c r="G88" i="1"/>
  <c r="J88" i="1" s="1"/>
  <c r="G89" i="1"/>
  <c r="J89" i="1" s="1"/>
  <c r="G90" i="1"/>
  <c r="J90" i="1" s="1"/>
  <c r="G91" i="1"/>
  <c r="J91" i="1" s="1"/>
  <c r="G92" i="1"/>
  <c r="J92" i="1" s="1"/>
  <c r="G93" i="1"/>
  <c r="J93" i="1" s="1"/>
  <c r="G94" i="1"/>
  <c r="J94" i="1" s="1"/>
  <c r="G95" i="1"/>
  <c r="J95" i="1" s="1"/>
  <c r="G96" i="1"/>
  <c r="J96" i="1" s="1"/>
  <c r="G97" i="1"/>
  <c r="J97" i="1" s="1"/>
  <c r="G98" i="1"/>
  <c r="J98" i="1" s="1"/>
  <c r="G99" i="1"/>
  <c r="J99" i="1" s="1"/>
  <c r="G100" i="1"/>
  <c r="J100" i="1" s="1"/>
  <c r="G101" i="1"/>
  <c r="J101" i="1" s="1"/>
  <c r="G102" i="1"/>
  <c r="J102" i="1" s="1"/>
  <c r="G103" i="1"/>
  <c r="J103" i="1" s="1"/>
  <c r="G104" i="1"/>
  <c r="J104" i="1" s="1"/>
  <c r="G105" i="1"/>
  <c r="J105" i="1" s="1"/>
  <c r="G106" i="1"/>
  <c r="J106" i="1" s="1"/>
  <c r="G107" i="1"/>
  <c r="J107" i="1" s="1"/>
  <c r="G108" i="1"/>
  <c r="J108" i="1" s="1"/>
  <c r="G109" i="1"/>
  <c r="J109" i="1" s="1"/>
  <c r="G110" i="1"/>
  <c r="J110" i="1" s="1"/>
  <c r="G111" i="1"/>
  <c r="J111" i="1" s="1"/>
  <c r="G112" i="1"/>
  <c r="J112" i="1" s="1"/>
  <c r="G113" i="1"/>
  <c r="J113" i="1" s="1"/>
  <c r="G114" i="1"/>
  <c r="J114" i="1" s="1"/>
  <c r="G115" i="1"/>
  <c r="J115" i="1" s="1"/>
  <c r="G116" i="1"/>
  <c r="J116" i="1" s="1"/>
  <c r="G117" i="1"/>
  <c r="J117" i="1" s="1"/>
  <c r="G118" i="1"/>
  <c r="J118" i="1" s="1"/>
  <c r="G119" i="1"/>
  <c r="J119" i="1" s="1"/>
  <c r="G120" i="1"/>
  <c r="J120" i="1" s="1"/>
  <c r="G121" i="1"/>
  <c r="J121" i="1" s="1"/>
  <c r="G122" i="1"/>
  <c r="J122" i="1" s="1"/>
  <c r="G123" i="1"/>
  <c r="J123" i="1" s="1"/>
  <c r="G124" i="1"/>
  <c r="J124" i="1" s="1"/>
  <c r="G125" i="1"/>
  <c r="J125" i="1" s="1"/>
  <c r="G126" i="1"/>
  <c r="J126" i="1" s="1"/>
  <c r="G127" i="1"/>
  <c r="J127" i="1" s="1"/>
  <c r="G128" i="1"/>
  <c r="J128" i="1" s="1"/>
  <c r="G129" i="1"/>
  <c r="J129" i="1" s="1"/>
  <c r="G130" i="1"/>
  <c r="J130" i="1" s="1"/>
  <c r="G131" i="1"/>
  <c r="J131" i="1" s="1"/>
  <c r="G132" i="1"/>
  <c r="J132" i="1" s="1"/>
  <c r="G133" i="1"/>
  <c r="J133" i="1" s="1"/>
  <c r="G134" i="1"/>
  <c r="J134" i="1" s="1"/>
  <c r="G135" i="1"/>
  <c r="J135" i="1" s="1"/>
  <c r="G136" i="1"/>
  <c r="J136" i="1" s="1"/>
  <c r="G137" i="1"/>
  <c r="J137" i="1" s="1"/>
  <c r="G138" i="1"/>
  <c r="J138" i="1" s="1"/>
  <c r="G139" i="1"/>
  <c r="J139" i="1" s="1"/>
  <c r="G140" i="1"/>
  <c r="J140" i="1" s="1"/>
  <c r="G141" i="1"/>
  <c r="J141" i="1" s="1"/>
  <c r="G142" i="1"/>
  <c r="J142" i="1" s="1"/>
  <c r="G143" i="1"/>
  <c r="J143" i="1" s="1"/>
  <c r="G144" i="1"/>
  <c r="J144" i="1" s="1"/>
  <c r="G145" i="1"/>
  <c r="J145" i="1" s="1"/>
  <c r="G146" i="1"/>
  <c r="J146" i="1" s="1"/>
  <c r="G147" i="1"/>
  <c r="J147" i="1" s="1"/>
  <c r="G148" i="1"/>
  <c r="J148" i="1" s="1"/>
  <c r="G149" i="1"/>
  <c r="J149" i="1" s="1"/>
  <c r="G150" i="1"/>
  <c r="J150" i="1" s="1"/>
  <c r="G151" i="1"/>
  <c r="J151" i="1" s="1"/>
  <c r="G152" i="1"/>
  <c r="J152" i="1" s="1"/>
  <c r="G153" i="1"/>
  <c r="J153" i="1" s="1"/>
  <c r="G154" i="1"/>
  <c r="J154" i="1" s="1"/>
  <c r="G155" i="1"/>
  <c r="J155" i="1" s="1"/>
  <c r="G156" i="1"/>
  <c r="J156" i="1" s="1"/>
  <c r="G157" i="1"/>
  <c r="J157" i="1" s="1"/>
  <c r="G158" i="1"/>
  <c r="J158" i="1" s="1"/>
  <c r="G159" i="1"/>
  <c r="J159" i="1" s="1"/>
  <c r="G160" i="1"/>
  <c r="J160" i="1" s="1"/>
  <c r="G161" i="1"/>
  <c r="J161" i="1" s="1"/>
  <c r="G162" i="1"/>
  <c r="J162" i="1" s="1"/>
  <c r="G163" i="1"/>
  <c r="J163" i="1" s="1"/>
  <c r="G164" i="1"/>
  <c r="J164" i="1" s="1"/>
  <c r="G165" i="1"/>
  <c r="J165" i="1" s="1"/>
  <c r="G166" i="1"/>
  <c r="J166" i="1" s="1"/>
  <c r="G167" i="1"/>
  <c r="J167" i="1" s="1"/>
  <c r="G168" i="1"/>
  <c r="J168" i="1" s="1"/>
  <c r="G169" i="1"/>
  <c r="J169" i="1" s="1"/>
  <c r="G170" i="1"/>
  <c r="J170" i="1" s="1"/>
  <c r="G171" i="1"/>
  <c r="J171" i="1" s="1"/>
  <c r="G172" i="1"/>
  <c r="J172" i="1" s="1"/>
  <c r="G173" i="1"/>
  <c r="J173" i="1" s="1"/>
  <c r="G174" i="1"/>
  <c r="J174" i="1" s="1"/>
  <c r="G175" i="1"/>
  <c r="J175" i="1" s="1"/>
  <c r="G176" i="1"/>
  <c r="J176" i="1" s="1"/>
  <c r="G177" i="1"/>
  <c r="J177" i="1" s="1"/>
  <c r="G178" i="1"/>
  <c r="J178" i="1" s="1"/>
  <c r="G179" i="1"/>
  <c r="J179" i="1" s="1"/>
  <c r="G180" i="1"/>
  <c r="J180" i="1" s="1"/>
  <c r="G181" i="1"/>
  <c r="J181" i="1" s="1"/>
  <c r="G182" i="1"/>
  <c r="J182" i="1" s="1"/>
  <c r="G183" i="1"/>
  <c r="J183" i="1" s="1"/>
  <c r="G184" i="1"/>
  <c r="J184" i="1" s="1"/>
  <c r="G185" i="1"/>
  <c r="J185" i="1" s="1"/>
  <c r="G186" i="1"/>
  <c r="J186" i="1" s="1"/>
  <c r="G187" i="1"/>
  <c r="J187" i="1" s="1"/>
  <c r="G188" i="1"/>
  <c r="J188" i="1" s="1"/>
  <c r="G189" i="1"/>
  <c r="J189" i="1" s="1"/>
  <c r="G190" i="1"/>
  <c r="J190" i="1" s="1"/>
  <c r="G191" i="1"/>
  <c r="J191" i="1" s="1"/>
  <c r="G192" i="1"/>
  <c r="J192" i="1" s="1"/>
  <c r="G193" i="1"/>
  <c r="J193" i="1" s="1"/>
  <c r="G194" i="1"/>
  <c r="J194" i="1" s="1"/>
  <c r="G195" i="1"/>
  <c r="J195" i="1" s="1"/>
  <c r="G196" i="1"/>
  <c r="J196" i="1" s="1"/>
  <c r="G197" i="1"/>
  <c r="J197" i="1" s="1"/>
  <c r="G198" i="1"/>
  <c r="J198" i="1" s="1"/>
  <c r="G199" i="1"/>
  <c r="J199" i="1" s="1"/>
  <c r="G200" i="1"/>
  <c r="J200" i="1" s="1"/>
  <c r="G201" i="1"/>
  <c r="J201" i="1" s="1"/>
  <c r="G202" i="1"/>
  <c r="J202" i="1" s="1"/>
  <c r="G203" i="1"/>
  <c r="J203" i="1" s="1"/>
  <c r="G204" i="1"/>
  <c r="J204" i="1" s="1"/>
  <c r="G205" i="1"/>
  <c r="J205" i="1" s="1"/>
  <c r="G206" i="1"/>
  <c r="J206" i="1" s="1"/>
  <c r="G207" i="1"/>
  <c r="J207" i="1" s="1"/>
  <c r="G208" i="1"/>
  <c r="J208" i="1" s="1"/>
  <c r="G209" i="1"/>
  <c r="J209" i="1" s="1"/>
  <c r="G210" i="1"/>
  <c r="J210" i="1" s="1"/>
  <c r="G211" i="1"/>
  <c r="J211" i="1" s="1"/>
  <c r="G212" i="1"/>
  <c r="J212" i="1" s="1"/>
  <c r="G213" i="1"/>
  <c r="J213" i="1" s="1"/>
  <c r="G214" i="1"/>
  <c r="J214" i="1" s="1"/>
  <c r="G215" i="1"/>
  <c r="J215" i="1" s="1"/>
  <c r="G216" i="1"/>
  <c r="J216" i="1" s="1"/>
  <c r="G217" i="1"/>
  <c r="J217" i="1" s="1"/>
  <c r="G218" i="1"/>
  <c r="J218" i="1" s="1"/>
  <c r="G219" i="1"/>
  <c r="J219" i="1" s="1"/>
  <c r="G220" i="1"/>
  <c r="J220" i="1" s="1"/>
  <c r="G221" i="1"/>
  <c r="J221" i="1" s="1"/>
  <c r="G222" i="1"/>
  <c r="J222" i="1" s="1"/>
  <c r="G223" i="1"/>
  <c r="J223" i="1" s="1"/>
  <c r="G224" i="1"/>
  <c r="J224" i="1" s="1"/>
  <c r="G225" i="1"/>
  <c r="J225" i="1" s="1"/>
  <c r="G226" i="1"/>
  <c r="J226" i="1" s="1"/>
  <c r="G227" i="1"/>
  <c r="J227" i="1" s="1"/>
  <c r="G228" i="1"/>
  <c r="J228" i="1" s="1"/>
  <c r="G229" i="1"/>
  <c r="J229" i="1" s="1"/>
  <c r="G230" i="1"/>
  <c r="J230" i="1" s="1"/>
  <c r="G231" i="1"/>
  <c r="J231" i="1" s="1"/>
  <c r="G232" i="1"/>
  <c r="J232" i="1" s="1"/>
  <c r="G233" i="1"/>
  <c r="J233" i="1" s="1"/>
  <c r="G234" i="1"/>
  <c r="J234" i="1" s="1"/>
  <c r="G235" i="1"/>
  <c r="J235" i="1" s="1"/>
  <c r="G236" i="1"/>
  <c r="J236" i="1" s="1"/>
  <c r="G237" i="1"/>
  <c r="J237" i="1" s="1"/>
  <c r="G238" i="1"/>
  <c r="J238" i="1" s="1"/>
  <c r="G239" i="1"/>
  <c r="J239" i="1" s="1"/>
  <c r="G240" i="1"/>
  <c r="J240" i="1" s="1"/>
  <c r="G241" i="1"/>
  <c r="J241" i="1" s="1"/>
  <c r="G242" i="1"/>
  <c r="J242" i="1" s="1"/>
  <c r="G243" i="1"/>
  <c r="J243" i="1" s="1"/>
  <c r="G244" i="1"/>
  <c r="J244" i="1" s="1"/>
  <c r="G245" i="1"/>
  <c r="J245" i="1" s="1"/>
  <c r="G246" i="1"/>
  <c r="J246" i="1" s="1"/>
  <c r="G247" i="1"/>
  <c r="J247" i="1" s="1"/>
  <c r="G248" i="1"/>
  <c r="J248" i="1" s="1"/>
  <c r="G249" i="1"/>
  <c r="J249" i="1" s="1"/>
  <c r="G250" i="1"/>
  <c r="J250" i="1" s="1"/>
  <c r="G251" i="1"/>
  <c r="J251" i="1" s="1"/>
  <c r="G252" i="1"/>
  <c r="J252" i="1" s="1"/>
  <c r="G253" i="1"/>
  <c r="J253" i="1" s="1"/>
  <c r="G254" i="1"/>
  <c r="J254" i="1" s="1"/>
  <c r="G255" i="1"/>
  <c r="J255" i="1" s="1"/>
  <c r="G256" i="1"/>
  <c r="J256" i="1" s="1"/>
  <c r="G257" i="1"/>
  <c r="J257" i="1" s="1"/>
  <c r="G258" i="1"/>
  <c r="J258" i="1" s="1"/>
  <c r="G259" i="1"/>
  <c r="J259" i="1" s="1"/>
  <c r="G260" i="1"/>
  <c r="J260" i="1" s="1"/>
  <c r="G261" i="1"/>
  <c r="J261" i="1" s="1"/>
  <c r="G262" i="1"/>
  <c r="J262" i="1" s="1"/>
  <c r="G263" i="1"/>
  <c r="J263" i="1" s="1"/>
  <c r="G264" i="1"/>
  <c r="J264" i="1" s="1"/>
  <c r="G265" i="1"/>
  <c r="J265" i="1" s="1"/>
  <c r="G266" i="1"/>
  <c r="J266" i="1" s="1"/>
  <c r="G267" i="1"/>
  <c r="J267" i="1" s="1"/>
  <c r="G268" i="1"/>
  <c r="J268" i="1" s="1"/>
  <c r="G269" i="1"/>
  <c r="J269" i="1" s="1"/>
  <c r="G270" i="1"/>
  <c r="J270" i="1" s="1"/>
  <c r="G271" i="1"/>
  <c r="J271" i="1" s="1"/>
  <c r="G272" i="1"/>
  <c r="J272" i="1" s="1"/>
  <c r="G273" i="1"/>
  <c r="J273" i="1" s="1"/>
  <c r="G274" i="1"/>
  <c r="J274" i="1" s="1"/>
  <c r="G275" i="1"/>
  <c r="J275" i="1" s="1"/>
  <c r="G276" i="1"/>
  <c r="J276" i="1" s="1"/>
  <c r="G277" i="1"/>
  <c r="J277" i="1" s="1"/>
  <c r="G278" i="1"/>
  <c r="J278" i="1" s="1"/>
  <c r="G279" i="1"/>
  <c r="J279" i="1" s="1"/>
  <c r="G280" i="1"/>
  <c r="J280" i="1" s="1"/>
  <c r="G281" i="1"/>
  <c r="J281" i="1" s="1"/>
  <c r="G282" i="1"/>
  <c r="J282" i="1" s="1"/>
  <c r="G283" i="1"/>
  <c r="J283" i="1" s="1"/>
  <c r="G284" i="1"/>
  <c r="J284" i="1" s="1"/>
  <c r="G285" i="1"/>
  <c r="J285" i="1" s="1"/>
  <c r="G286" i="1"/>
  <c r="J286" i="1" s="1"/>
  <c r="G287" i="1"/>
  <c r="J287" i="1" s="1"/>
  <c r="G288" i="1"/>
  <c r="J288" i="1" s="1"/>
  <c r="G289" i="1"/>
  <c r="J289" i="1" s="1"/>
  <c r="G290" i="1"/>
  <c r="J290" i="1" s="1"/>
  <c r="G291" i="1"/>
  <c r="J291" i="1" s="1"/>
  <c r="G292" i="1"/>
  <c r="J292" i="1" s="1"/>
  <c r="G293" i="1"/>
  <c r="J293" i="1" s="1"/>
  <c r="I3" i="1"/>
  <c r="L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" i="1"/>
  <c r="H3" i="1"/>
  <c r="H4" i="1"/>
  <c r="H6" i="1"/>
  <c r="K6" i="1" s="1"/>
  <c r="H7" i="1"/>
  <c r="H8" i="1"/>
  <c r="H9" i="1"/>
  <c r="K8" i="1" s="1"/>
  <c r="H10" i="1"/>
  <c r="H11" i="1"/>
  <c r="H12" i="1"/>
  <c r="H13" i="1"/>
  <c r="H14" i="1"/>
  <c r="H15" i="1"/>
  <c r="H16" i="1"/>
  <c r="H17" i="1"/>
  <c r="K16" i="1" s="1"/>
  <c r="H18" i="1"/>
  <c r="H19" i="1"/>
  <c r="H20" i="1"/>
  <c r="H21" i="1"/>
  <c r="H22" i="1"/>
  <c r="H23" i="1"/>
  <c r="H24" i="1"/>
  <c r="K23" i="1" s="1"/>
  <c r="H25" i="1"/>
  <c r="K24" i="1" s="1"/>
  <c r="H26" i="1"/>
  <c r="H27" i="1"/>
  <c r="H28" i="1"/>
  <c r="H29" i="1"/>
  <c r="H30" i="1"/>
  <c r="H31" i="1"/>
  <c r="H32" i="1"/>
  <c r="H33" i="1"/>
  <c r="K32" i="1" s="1"/>
  <c r="H34" i="1"/>
  <c r="H35" i="1"/>
  <c r="H36" i="1"/>
  <c r="H37" i="1"/>
  <c r="H38" i="1"/>
  <c r="H39" i="1"/>
  <c r="H40" i="1"/>
  <c r="H41" i="1"/>
  <c r="K40" i="1" s="1"/>
  <c r="H42" i="1"/>
  <c r="H43" i="1"/>
  <c r="H44" i="1"/>
  <c r="H45" i="1"/>
  <c r="H46" i="1"/>
  <c r="H47" i="1"/>
  <c r="H48" i="1"/>
  <c r="H49" i="1"/>
  <c r="K48" i="1" s="1"/>
  <c r="H50" i="1"/>
  <c r="H51" i="1"/>
  <c r="H52" i="1"/>
  <c r="H53" i="1"/>
  <c r="H54" i="1"/>
  <c r="H55" i="1"/>
  <c r="H56" i="1"/>
  <c r="K55" i="1" s="1"/>
  <c r="H57" i="1"/>
  <c r="K56" i="1" s="1"/>
  <c r="H58" i="1"/>
  <c r="H59" i="1"/>
  <c r="H60" i="1"/>
  <c r="H61" i="1"/>
  <c r="H62" i="1"/>
  <c r="H63" i="1"/>
  <c r="H64" i="1"/>
  <c r="K63" i="1" s="1"/>
  <c r="H65" i="1"/>
  <c r="K64" i="1" s="1"/>
  <c r="H66" i="1"/>
  <c r="H67" i="1"/>
  <c r="H68" i="1"/>
  <c r="H69" i="1"/>
  <c r="H70" i="1"/>
  <c r="H71" i="1"/>
  <c r="H72" i="1"/>
  <c r="K71" i="1" s="1"/>
  <c r="H73" i="1"/>
  <c r="K72" i="1" s="1"/>
  <c r="H74" i="1"/>
  <c r="H75" i="1"/>
  <c r="H76" i="1"/>
  <c r="H77" i="1"/>
  <c r="H78" i="1"/>
  <c r="H79" i="1"/>
  <c r="H80" i="1"/>
  <c r="H81" i="1"/>
  <c r="K80" i="1" s="1"/>
  <c r="H82" i="1"/>
  <c r="H83" i="1"/>
  <c r="H84" i="1"/>
  <c r="H85" i="1"/>
  <c r="H86" i="1"/>
  <c r="H87" i="1"/>
  <c r="H88" i="1"/>
  <c r="H89" i="1"/>
  <c r="K88" i="1" s="1"/>
  <c r="H90" i="1"/>
  <c r="H91" i="1"/>
  <c r="H92" i="1"/>
  <c r="H93" i="1"/>
  <c r="H94" i="1"/>
  <c r="H95" i="1"/>
  <c r="H96" i="1"/>
  <c r="H97" i="1"/>
  <c r="K96" i="1" s="1"/>
  <c r="H98" i="1"/>
  <c r="H99" i="1"/>
  <c r="H100" i="1"/>
  <c r="H101" i="1"/>
  <c r="H102" i="1"/>
  <c r="H103" i="1"/>
  <c r="H104" i="1"/>
  <c r="H105" i="1"/>
  <c r="K104" i="1" s="1"/>
  <c r="H106" i="1"/>
  <c r="H107" i="1"/>
  <c r="H108" i="1"/>
  <c r="H109" i="1"/>
  <c r="H110" i="1"/>
  <c r="H111" i="1"/>
  <c r="H112" i="1"/>
  <c r="H113" i="1"/>
  <c r="K112" i="1" s="1"/>
  <c r="H114" i="1"/>
  <c r="H115" i="1"/>
  <c r="H116" i="1"/>
  <c r="H117" i="1"/>
  <c r="H118" i="1"/>
  <c r="H119" i="1"/>
  <c r="H120" i="1"/>
  <c r="H121" i="1"/>
  <c r="K120" i="1" s="1"/>
  <c r="H122" i="1"/>
  <c r="H123" i="1"/>
  <c r="H124" i="1"/>
  <c r="H125" i="1"/>
  <c r="H126" i="1"/>
  <c r="H127" i="1"/>
  <c r="H128" i="1"/>
  <c r="K127" i="1" s="1"/>
  <c r="H129" i="1"/>
  <c r="K128" i="1" s="1"/>
  <c r="H130" i="1"/>
  <c r="H131" i="1"/>
  <c r="H132" i="1"/>
  <c r="H133" i="1"/>
  <c r="H134" i="1"/>
  <c r="H135" i="1"/>
  <c r="H136" i="1"/>
  <c r="H137" i="1"/>
  <c r="K136" i="1" s="1"/>
  <c r="H138" i="1"/>
  <c r="H139" i="1"/>
  <c r="H140" i="1"/>
  <c r="H141" i="1"/>
  <c r="H142" i="1"/>
  <c r="H143" i="1"/>
  <c r="H144" i="1"/>
  <c r="H145" i="1"/>
  <c r="K144" i="1" s="1"/>
  <c r="H146" i="1"/>
  <c r="H147" i="1"/>
  <c r="H148" i="1"/>
  <c r="H149" i="1"/>
  <c r="H150" i="1"/>
  <c r="H151" i="1"/>
  <c r="H152" i="1"/>
  <c r="H153" i="1"/>
  <c r="K152" i="1" s="1"/>
  <c r="H154" i="1"/>
  <c r="H155" i="1"/>
  <c r="H156" i="1"/>
  <c r="H157" i="1"/>
  <c r="H158" i="1"/>
  <c r="H159" i="1"/>
  <c r="H160" i="1"/>
  <c r="H161" i="1"/>
  <c r="K160" i="1" s="1"/>
  <c r="H162" i="1"/>
  <c r="H163" i="1"/>
  <c r="H164" i="1"/>
  <c r="H165" i="1"/>
  <c r="H166" i="1"/>
  <c r="H167" i="1"/>
  <c r="H168" i="1"/>
  <c r="H169" i="1"/>
  <c r="K168" i="1" s="1"/>
  <c r="H170" i="1"/>
  <c r="H171" i="1"/>
  <c r="H172" i="1"/>
  <c r="H173" i="1"/>
  <c r="H174" i="1"/>
  <c r="H175" i="1"/>
  <c r="H176" i="1"/>
  <c r="H177" i="1"/>
  <c r="K176" i="1" s="1"/>
  <c r="H178" i="1"/>
  <c r="H179" i="1"/>
  <c r="H180" i="1"/>
  <c r="H181" i="1"/>
  <c r="H182" i="1"/>
  <c r="H183" i="1"/>
  <c r="H184" i="1"/>
  <c r="K183" i="1" s="1"/>
  <c r="H185" i="1"/>
  <c r="K184" i="1" s="1"/>
  <c r="H186" i="1"/>
  <c r="H187" i="1"/>
  <c r="H188" i="1"/>
  <c r="H189" i="1"/>
  <c r="H190" i="1"/>
  <c r="H191" i="1"/>
  <c r="H192" i="1"/>
  <c r="K191" i="1" s="1"/>
  <c r="H193" i="1"/>
  <c r="K192" i="1" s="1"/>
  <c r="H194" i="1"/>
  <c r="H195" i="1"/>
  <c r="H196" i="1"/>
  <c r="H197" i="1"/>
  <c r="H198" i="1"/>
  <c r="H199" i="1"/>
  <c r="H200" i="1"/>
  <c r="H201" i="1"/>
  <c r="K200" i="1" s="1"/>
  <c r="H202" i="1"/>
  <c r="H203" i="1"/>
  <c r="H204" i="1"/>
  <c r="H205" i="1"/>
  <c r="H206" i="1"/>
  <c r="H207" i="1"/>
  <c r="H208" i="1"/>
  <c r="H209" i="1"/>
  <c r="K208" i="1" s="1"/>
  <c r="H210" i="1"/>
  <c r="H211" i="1"/>
  <c r="H212" i="1"/>
  <c r="H213" i="1"/>
  <c r="H214" i="1"/>
  <c r="H215" i="1"/>
  <c r="H216" i="1"/>
  <c r="H217" i="1"/>
  <c r="K216" i="1" s="1"/>
  <c r="H218" i="1"/>
  <c r="H219" i="1"/>
  <c r="H220" i="1"/>
  <c r="H221" i="1"/>
  <c r="H222" i="1"/>
  <c r="H223" i="1"/>
  <c r="H224" i="1"/>
  <c r="H225" i="1"/>
  <c r="K224" i="1" s="1"/>
  <c r="H226" i="1"/>
  <c r="H227" i="1"/>
  <c r="H228" i="1"/>
  <c r="H229" i="1"/>
  <c r="H230" i="1"/>
  <c r="H231" i="1"/>
  <c r="H232" i="1"/>
  <c r="H233" i="1"/>
  <c r="K232" i="1" s="1"/>
  <c r="H234" i="1"/>
  <c r="H235" i="1"/>
  <c r="H236" i="1"/>
  <c r="H237" i="1"/>
  <c r="H238" i="1"/>
  <c r="H239" i="1"/>
  <c r="H240" i="1"/>
  <c r="K239" i="1" s="1"/>
  <c r="H241" i="1"/>
  <c r="K240" i="1" s="1"/>
  <c r="H242" i="1"/>
  <c r="H243" i="1"/>
  <c r="H244" i="1"/>
  <c r="H245" i="1"/>
  <c r="H246" i="1"/>
  <c r="H247" i="1"/>
  <c r="H248" i="1"/>
  <c r="H249" i="1"/>
  <c r="K248" i="1" s="1"/>
  <c r="H250" i="1"/>
  <c r="H251" i="1"/>
  <c r="H252" i="1"/>
  <c r="H253" i="1"/>
  <c r="H254" i="1"/>
  <c r="H255" i="1"/>
  <c r="H256" i="1"/>
  <c r="K255" i="1" s="1"/>
  <c r="H257" i="1"/>
  <c r="K256" i="1" s="1"/>
  <c r="H258" i="1"/>
  <c r="H259" i="1"/>
  <c r="H260" i="1"/>
  <c r="H261" i="1"/>
  <c r="H262" i="1"/>
  <c r="H263" i="1"/>
  <c r="H264" i="1"/>
  <c r="H265" i="1"/>
  <c r="K264" i="1" s="1"/>
  <c r="H266" i="1"/>
  <c r="H267" i="1"/>
  <c r="H268" i="1"/>
  <c r="H269" i="1"/>
  <c r="H270" i="1"/>
  <c r="H271" i="1"/>
  <c r="H272" i="1"/>
  <c r="H273" i="1"/>
  <c r="K272" i="1" s="1"/>
  <c r="H274" i="1"/>
  <c r="H275" i="1"/>
  <c r="H276" i="1"/>
  <c r="H277" i="1"/>
  <c r="H278" i="1"/>
  <c r="H279" i="1"/>
  <c r="H280" i="1"/>
  <c r="H281" i="1"/>
  <c r="K280" i="1" s="1"/>
  <c r="H282" i="1"/>
  <c r="H283" i="1"/>
  <c r="H284" i="1"/>
  <c r="H285" i="1"/>
  <c r="H286" i="1"/>
  <c r="H287" i="1"/>
  <c r="H288" i="1"/>
  <c r="H289" i="1"/>
  <c r="K288" i="1" s="1"/>
  <c r="H290" i="1"/>
  <c r="H291" i="1"/>
  <c r="H292" i="1"/>
  <c r="H293" i="1"/>
  <c r="H294" i="1"/>
  <c r="L2" i="1" l="1"/>
  <c r="K182" i="1"/>
  <c r="K286" i="1"/>
  <c r="K278" i="1"/>
  <c r="K270" i="1"/>
  <c r="L209" i="1"/>
  <c r="L145" i="1"/>
  <c r="L234" i="1"/>
  <c r="L170" i="1"/>
  <c r="K262" i="1"/>
  <c r="K254" i="1"/>
  <c r="K238" i="1"/>
  <c r="K230" i="1"/>
  <c r="K222" i="1"/>
  <c r="K214" i="1"/>
  <c r="K206" i="1"/>
  <c r="K198" i="1"/>
  <c r="K190" i="1"/>
  <c r="K174" i="1"/>
  <c r="K158" i="1"/>
  <c r="K150" i="1"/>
  <c r="K142" i="1"/>
  <c r="K134" i="1"/>
  <c r="K126" i="1"/>
  <c r="K110" i="1"/>
  <c r="K102" i="1"/>
  <c r="K94" i="1"/>
  <c r="K86" i="1"/>
  <c r="K78" i="1"/>
  <c r="K70" i="1"/>
  <c r="K62" i="1"/>
  <c r="K54" i="1"/>
  <c r="K46" i="1"/>
  <c r="K30" i="1"/>
  <c r="K22" i="1"/>
  <c r="K14" i="1"/>
  <c r="L148" i="1"/>
  <c r="L124" i="1"/>
  <c r="L226" i="1"/>
  <c r="L162" i="1"/>
  <c r="L138" i="1"/>
  <c r="L98" i="1"/>
  <c r="L34" i="1"/>
  <c r="L10" i="1"/>
  <c r="L116" i="1"/>
  <c r="L108" i="1"/>
  <c r="L100" i="1"/>
  <c r="L92" i="1"/>
  <c r="L84" i="1"/>
  <c r="L60" i="1"/>
  <c r="L52" i="1"/>
  <c r="L36" i="1"/>
  <c r="L28" i="1"/>
  <c r="L20" i="1"/>
  <c r="L283" i="1"/>
  <c r="L275" i="1"/>
  <c r="L267" i="1"/>
  <c r="L259" i="1"/>
  <c r="L251" i="1"/>
  <c r="L243" i="1"/>
  <c r="L235" i="1"/>
  <c r="L227" i="1"/>
  <c r="L219" i="1"/>
  <c r="L211" i="1"/>
  <c r="L203" i="1"/>
  <c r="L195" i="1"/>
  <c r="L187" i="1"/>
  <c r="L179" i="1"/>
  <c r="L171" i="1"/>
  <c r="L163" i="1"/>
  <c r="L155" i="1"/>
  <c r="L147" i="1"/>
  <c r="L139" i="1"/>
  <c r="L131" i="1"/>
  <c r="L123" i="1"/>
  <c r="L115" i="1"/>
  <c r="L107" i="1"/>
  <c r="L99" i="1"/>
  <c r="L91" i="1"/>
  <c r="L83" i="1"/>
  <c r="L75" i="1"/>
  <c r="L67" i="1"/>
  <c r="L59" i="1"/>
  <c r="L51" i="1"/>
  <c r="L43" i="1"/>
  <c r="L35" i="1"/>
  <c r="L27" i="1"/>
  <c r="L19" i="1"/>
  <c r="L11" i="1"/>
  <c r="L3" i="1"/>
  <c r="K289" i="1"/>
  <c r="K281" i="1"/>
  <c r="K273" i="1"/>
  <c r="K265" i="1"/>
  <c r="K257" i="1"/>
  <c r="K249" i="1"/>
  <c r="K241" i="1"/>
  <c r="K233" i="1"/>
  <c r="K225" i="1"/>
  <c r="K217" i="1"/>
  <c r="K209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294" i="1"/>
  <c r="L286" i="1"/>
  <c r="L278" i="1"/>
  <c r="L270" i="1"/>
  <c r="L262" i="1"/>
  <c r="L254" i="1"/>
  <c r="L246" i="1"/>
  <c r="L238" i="1"/>
  <c r="L230" i="1"/>
  <c r="L222" i="1"/>
  <c r="L214" i="1"/>
  <c r="L206" i="1"/>
  <c r="L182" i="1"/>
  <c r="L142" i="1"/>
  <c r="L62" i="1"/>
  <c r="L14" i="1"/>
  <c r="K119" i="1"/>
  <c r="L282" i="1"/>
  <c r="L274" i="1"/>
  <c r="L242" i="1"/>
  <c r="L218" i="1"/>
  <c r="L210" i="1"/>
  <c r="L178" i="1"/>
  <c r="L154" i="1"/>
  <c r="L146" i="1"/>
  <c r="L114" i="1"/>
  <c r="L106" i="1"/>
  <c r="L90" i="1"/>
  <c r="L82" i="1"/>
  <c r="L26" i="1"/>
  <c r="K39" i="1"/>
  <c r="K118" i="1"/>
  <c r="K247" i="1"/>
  <c r="K167" i="1"/>
  <c r="K291" i="1"/>
  <c r="K283" i="1"/>
  <c r="K275" i="1"/>
  <c r="K267" i="1"/>
  <c r="K259" i="1"/>
  <c r="K251" i="1"/>
  <c r="K243" i="1"/>
  <c r="K235" i="1"/>
  <c r="K227" i="1"/>
  <c r="K219" i="1"/>
  <c r="K211" i="1"/>
  <c r="K203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67" i="1"/>
  <c r="K59" i="1"/>
  <c r="K51" i="1"/>
  <c r="K43" i="1"/>
  <c r="K35" i="1"/>
  <c r="K27" i="1"/>
  <c r="K19" i="1"/>
  <c r="K11" i="1"/>
  <c r="K3" i="1"/>
  <c r="L280" i="1"/>
  <c r="L256" i="1"/>
  <c r="L216" i="1"/>
  <c r="L192" i="1"/>
  <c r="L152" i="1"/>
  <c r="L136" i="1"/>
  <c r="L120" i="1"/>
  <c r="L72" i="1"/>
  <c r="L64" i="1"/>
  <c r="L56" i="1"/>
  <c r="L48" i="1"/>
  <c r="L40" i="1"/>
  <c r="L33" i="1"/>
  <c r="L16" i="1"/>
  <c r="L290" i="1"/>
  <c r="L273" i="1"/>
  <c r="L266" i="1"/>
  <c r="L233" i="1"/>
  <c r="L202" i="1"/>
  <c r="L169" i="1"/>
  <c r="L105" i="1"/>
  <c r="L81" i="1"/>
  <c r="L74" i="1"/>
  <c r="L41" i="1"/>
  <c r="L17" i="1"/>
  <c r="L8" i="1"/>
  <c r="K279" i="1"/>
  <c r="K263" i="1"/>
  <c r="K207" i="1"/>
  <c r="K199" i="1"/>
  <c r="K151" i="1"/>
  <c r="K135" i="1"/>
  <c r="K111" i="1"/>
  <c r="K79" i="1"/>
  <c r="K246" i="1"/>
  <c r="L54" i="1"/>
  <c r="K7" i="1"/>
  <c r="L291" i="1"/>
  <c r="L50" i="1"/>
  <c r="L42" i="1"/>
  <c r="L18" i="1"/>
  <c r="L200" i="1"/>
  <c r="L128" i="1"/>
  <c r="L198" i="1"/>
  <c r="L190" i="1"/>
  <c r="L174" i="1"/>
  <c r="L166" i="1"/>
  <c r="L158" i="1"/>
  <c r="L150" i="1"/>
  <c r="L134" i="1"/>
  <c r="L126" i="1"/>
  <c r="L118" i="1"/>
  <c r="L110" i="1"/>
  <c r="L102" i="1"/>
  <c r="L94" i="1"/>
  <c r="L86" i="1"/>
  <c r="L78" i="1"/>
  <c r="L70" i="1"/>
  <c r="L46" i="1"/>
  <c r="L38" i="1"/>
  <c r="L30" i="1"/>
  <c r="L22" i="1"/>
  <c r="L6" i="1"/>
  <c r="L97" i="1"/>
  <c r="L137" i="1"/>
  <c r="K271" i="1"/>
  <c r="K215" i="1"/>
  <c r="K143" i="1"/>
  <c r="K87" i="1"/>
  <c r="K15" i="1"/>
  <c r="K166" i="1"/>
  <c r="L292" i="1"/>
  <c r="L284" i="1"/>
  <c r="L276" i="1"/>
  <c r="L260" i="1"/>
  <c r="L252" i="1"/>
  <c r="L244" i="1"/>
  <c r="L236" i="1"/>
  <c r="L228" i="1"/>
  <c r="L220" i="1"/>
  <c r="L212" i="1"/>
  <c r="L196" i="1"/>
  <c r="L188" i="1"/>
  <c r="L180" i="1"/>
  <c r="L173" i="1"/>
  <c r="L164" i="1"/>
  <c r="L156" i="1"/>
  <c r="L45" i="1"/>
  <c r="L201" i="1"/>
  <c r="L161" i="1"/>
  <c r="K38" i="1"/>
  <c r="L265" i="1"/>
  <c r="L225" i="1"/>
  <c r="K292" i="1"/>
  <c r="K284" i="1"/>
  <c r="K276" i="1"/>
  <c r="K268" i="1"/>
  <c r="K260" i="1"/>
  <c r="K252" i="1"/>
  <c r="K244" i="1"/>
  <c r="K236" i="1"/>
  <c r="K228" i="1"/>
  <c r="K220" i="1"/>
  <c r="K212" i="1"/>
  <c r="K204" i="1"/>
  <c r="K196" i="1"/>
  <c r="K188" i="1"/>
  <c r="K180" i="1"/>
  <c r="K172" i="1"/>
  <c r="K164" i="1"/>
  <c r="K156" i="1"/>
  <c r="K148" i="1"/>
  <c r="K140" i="1"/>
  <c r="K132" i="1"/>
  <c r="K124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K4" i="1"/>
  <c r="L281" i="1"/>
  <c r="L257" i="1"/>
  <c r="L249" i="1"/>
  <c r="L241" i="1"/>
  <c r="L217" i="1"/>
  <c r="L193" i="1"/>
  <c r="L185" i="1"/>
  <c r="L177" i="1"/>
  <c r="L153" i="1"/>
  <c r="L129" i="1"/>
  <c r="L121" i="1"/>
  <c r="L113" i="1"/>
  <c r="L89" i="1"/>
  <c r="L65" i="1"/>
  <c r="L57" i="1"/>
  <c r="L49" i="1"/>
  <c r="L25" i="1"/>
  <c r="L73" i="1"/>
  <c r="L9" i="1"/>
  <c r="L289" i="1"/>
  <c r="L261" i="1"/>
  <c r="L237" i="1"/>
  <c r="L172" i="1"/>
  <c r="L44" i="1"/>
  <c r="L293" i="1"/>
  <c r="L285" i="1"/>
  <c r="L277" i="1"/>
  <c r="L253" i="1"/>
  <c r="L229" i="1"/>
  <c r="L221" i="1"/>
  <c r="L213" i="1"/>
  <c r="L189" i="1"/>
  <c r="L165" i="1"/>
  <c r="L157" i="1"/>
  <c r="L149" i="1"/>
  <c r="L125" i="1"/>
  <c r="L101" i="1"/>
  <c r="L93" i="1"/>
  <c r="L85" i="1"/>
  <c r="L61" i="1"/>
  <c r="L37" i="1"/>
  <c r="L29" i="1"/>
  <c r="L21" i="1"/>
  <c r="L117" i="1"/>
  <c r="L204" i="1"/>
  <c r="L205" i="1"/>
  <c r="L12" i="1"/>
  <c r="L13" i="1"/>
  <c r="L132" i="1"/>
  <c r="L133" i="1"/>
  <c r="L76" i="1"/>
  <c r="L77" i="1"/>
  <c r="L181" i="1"/>
  <c r="L109" i="1"/>
  <c r="L53" i="1"/>
  <c r="L245" i="1"/>
  <c r="L5" i="1"/>
  <c r="L140" i="1"/>
  <c r="L141" i="1"/>
  <c r="L68" i="1"/>
  <c r="L69" i="1"/>
  <c r="L272" i="1"/>
  <c r="L248" i="1"/>
  <c r="L240" i="1"/>
  <c r="L232" i="1"/>
  <c r="L208" i="1"/>
  <c r="L184" i="1"/>
  <c r="L176" i="1"/>
  <c r="L168" i="1"/>
  <c r="L144" i="1"/>
  <c r="L112" i="1"/>
  <c r="L104" i="1"/>
  <c r="L80" i="1"/>
  <c r="L268" i="1"/>
  <c r="L269" i="1"/>
  <c r="L287" i="1"/>
  <c r="L288" i="1"/>
  <c r="L279" i="1"/>
  <c r="L271" i="1"/>
  <c r="L263" i="1"/>
  <c r="L255" i="1"/>
  <c r="L247" i="1"/>
  <c r="L239" i="1"/>
  <c r="L231" i="1"/>
  <c r="L223" i="1"/>
  <c r="L224" i="1"/>
  <c r="L215" i="1"/>
  <c r="L207" i="1"/>
  <c r="L199" i="1"/>
  <c r="L191" i="1"/>
  <c r="L183" i="1"/>
  <c r="L175" i="1"/>
  <c r="L167" i="1"/>
  <c r="L159" i="1"/>
  <c r="L160" i="1"/>
  <c r="L151" i="1"/>
  <c r="L143" i="1"/>
  <c r="L135" i="1"/>
  <c r="L127" i="1"/>
  <c r="L119" i="1"/>
  <c r="L111" i="1"/>
  <c r="L103" i="1"/>
  <c r="L95" i="1"/>
  <c r="L96" i="1"/>
  <c r="L87" i="1"/>
  <c r="L88" i="1"/>
  <c r="L79" i="1"/>
  <c r="L71" i="1"/>
  <c r="L63" i="1"/>
  <c r="L55" i="1"/>
  <c r="L47" i="1"/>
  <c r="L39" i="1"/>
  <c r="L31" i="1"/>
  <c r="L32" i="1"/>
  <c r="L23" i="1"/>
  <c r="L24" i="1"/>
  <c r="L15" i="1"/>
  <c r="L7" i="1"/>
  <c r="L264" i="1"/>
  <c r="L197" i="1"/>
  <c r="K290" i="1"/>
  <c r="K282" i="1"/>
  <c r="K274" i="1"/>
  <c r="K266" i="1"/>
  <c r="K258" i="1"/>
  <c r="K250" i="1"/>
  <c r="K242" i="1"/>
  <c r="K234" i="1"/>
  <c r="K226" i="1"/>
  <c r="K218" i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10" i="1"/>
  <c r="K223" i="1"/>
  <c r="K95" i="1"/>
  <c r="L250" i="1"/>
  <c r="L186" i="1"/>
  <c r="L122" i="1"/>
  <c r="L58" i="1"/>
  <c r="K287" i="1"/>
  <c r="K231" i="1"/>
  <c r="K159" i="1"/>
  <c r="K103" i="1"/>
  <c r="K31" i="1"/>
  <c r="L258" i="1"/>
  <c r="L194" i="1"/>
  <c r="L130" i="1"/>
  <c r="L66" i="1"/>
  <c r="K293" i="1"/>
  <c r="K285" i="1"/>
  <c r="K277" i="1"/>
  <c r="K269" i="1"/>
  <c r="K261" i="1"/>
  <c r="K253" i="1"/>
  <c r="K175" i="1"/>
  <c r="K47" i="1"/>
  <c r="L294" i="1"/>
  <c r="K245" i="1"/>
  <c r="K237" i="1"/>
  <c r="K229" i="1"/>
  <c r="K221" i="1"/>
  <c r="K213" i="1"/>
  <c r="K205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</calcChain>
</file>

<file path=xl/sharedStrings.xml><?xml version="1.0" encoding="utf-8"?>
<sst xmlns="http://schemas.openxmlformats.org/spreadsheetml/2006/main" count="99" uniqueCount="38">
  <si>
    <t>PCECC96</t>
  </si>
  <si>
    <t>GDPC1</t>
  </si>
  <si>
    <t>GDPDEF</t>
  </si>
  <si>
    <t>TB3MS</t>
  </si>
  <si>
    <t>observation_date</t>
  </si>
  <si>
    <t>Variable</t>
  </si>
  <si>
    <t>Description</t>
  </si>
  <si>
    <t>GDP</t>
  </si>
  <si>
    <t>Inflation</t>
  </si>
  <si>
    <t>Real interest rate</t>
  </si>
  <si>
    <t>GDP per capita in thousand dollars, detrended</t>
  </si>
  <si>
    <t>r_obs</t>
  </si>
  <si>
    <t>gy</t>
  </si>
  <si>
    <t>gc</t>
  </si>
  <si>
    <t>CNP16OV</t>
  </si>
  <si>
    <t>Source</t>
  </si>
  <si>
    <t>FRED</t>
  </si>
  <si>
    <t>Population</t>
  </si>
  <si>
    <t>T-Bill 3 month return</t>
  </si>
  <si>
    <t xml:space="preserve">GDP per capita </t>
  </si>
  <si>
    <t>Consumption per capita</t>
  </si>
  <si>
    <t>GDP deflator</t>
  </si>
  <si>
    <t>Interest rate</t>
  </si>
  <si>
    <t>Consumption</t>
  </si>
  <si>
    <t>computations</t>
  </si>
  <si>
    <t>raw variable</t>
  </si>
  <si>
    <t>intermediate variable</t>
  </si>
  <si>
    <t>final variable</t>
  </si>
  <si>
    <t>GDP per capita de-trended</t>
  </si>
  <si>
    <t>Real GDP per capita in thousand dollars</t>
  </si>
  <si>
    <t>Real GDP in thousand dollars</t>
  </si>
  <si>
    <t>Frequency</t>
  </si>
  <si>
    <t>Quarterly</t>
  </si>
  <si>
    <t>Years</t>
  </si>
  <si>
    <t>1952-2025</t>
  </si>
  <si>
    <t>Label</t>
  </si>
  <si>
    <t>Consumption per capita de-trended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</si>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</sst>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5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6"/>
      <name val="Aptos Narrow"/>
      <family val="2"/>
      <scheme val="minor"/>
    </font>
    <font>
      <b/>
      <sz val="12"/>
      <color theme="1" tint="0.249977111117893"/>
      <name val="Aptos Narrow"/>
      <family val="2"/>
      <scheme val="minor"/>
    </font>
    <font>
      <b/>
      <sz val="12"/>
      <color theme="5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0" fillId="4" borderId="1" xfId="0" applyFill="1" applyBorder="1"/>
    <xf numFmtId="0" fontId="0" fillId="2" borderId="1" xfId="0" applyFill="1" applyBorder="1"/>
    <xf numFmtId="0" fontId="0" fillId="8" borderId="1" xfId="0" applyFill="1" applyBorder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3" fillId="2" borderId="1" xfId="0" applyFont="1" applyFill="1" applyBorder="1"/>
    <xf numFmtId="0" fontId="4" fillId="4" borderId="1" xfId="0" applyFont="1" applyFill="1" applyBorder="1"/>
    <xf numFmtId="165" fontId="0" fillId="4" borderId="1" xfId="0" applyNumberFormat="1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B3E2-A9B0-904D-B981-589D12C84E31}">
  <dimension ref="A1:G12"/>
  <sheetViews>
    <sheetView showGridLines="0" workbookViewId="0">
      <selection activeCell="B4" sqref="B4"/>
    </sheetView>
  </sheetViews>
  <sheetFormatPr baseColWidth="10" defaultRowHeight="15.75" x14ac:dyDescent="0.5"/>
  <cols>
    <col min="1" max="1" width="29.0625" bestFit="1" customWidth="1"/>
    <col min="2" max="2" width="19.75" bestFit="1" customWidth="1"/>
    <col min="3" max="3" width="19.5" customWidth="1"/>
    <col min="4" max="4" width="11.625" bestFit="1" customWidth="1"/>
    <col min="5" max="5" width="37.5" bestFit="1" customWidth="1"/>
  </cols>
  <sheetData>
    <row r="1" spans="1:7" x14ac:dyDescent="0.5">
      <c r="A1" s="2" t="s">
        <v>5</v>
      </c>
      <c r="B1" s="2" t="s">
        <v>35</v>
      </c>
      <c r="C1" s="2" t="s">
        <v>37</v>
      </c>
      <c r="D1" s="2" t="s">
        <v>15</v>
      </c>
      <c r="E1" s="2" t="s">
        <v>6</v>
      </c>
      <c r="F1" s="2" t="s">
        <v>33</v>
      </c>
      <c r="G1" s="2" t="s">
        <v>31</v>
      </c>
    </row>
    <row r="2" spans="1:7" x14ac:dyDescent="0.5">
      <c r="A2" s="3" t="s">
        <v>7</v>
      </c>
      <c r="B2" s="3" t="s">
        <v>1</v>
      </c>
      <c r="C2" s="10" t="s">
        <v>25</v>
      </c>
      <c r="D2" s="3" t="s">
        <v>16</v>
      </c>
      <c r="E2" s="3" t="s">
        <v>30</v>
      </c>
      <c r="F2" s="3" t="s">
        <v>34</v>
      </c>
      <c r="G2" s="3" t="s">
        <v>32</v>
      </c>
    </row>
    <row r="3" spans="1:7" x14ac:dyDescent="0.5">
      <c r="A3" s="3" t="s">
        <v>21</v>
      </c>
      <c r="B3" s="3" t="s">
        <v>2</v>
      </c>
      <c r="C3" s="10" t="s">
        <v>25</v>
      </c>
      <c r="D3" s="3" t="s">
        <v>16</v>
      </c>
      <c r="E3" s="3"/>
      <c r="F3" s="3" t="s">
        <v>34</v>
      </c>
      <c r="G3" s="3" t="s">
        <v>32</v>
      </c>
    </row>
    <row r="4" spans="1:7" x14ac:dyDescent="0.5">
      <c r="A4" s="3" t="s">
        <v>22</v>
      </c>
      <c r="B4" s="3" t="s">
        <v>3</v>
      </c>
      <c r="C4" s="10" t="s">
        <v>25</v>
      </c>
      <c r="D4" s="3" t="s">
        <v>16</v>
      </c>
      <c r="E4" s="3" t="s">
        <v>18</v>
      </c>
      <c r="F4" s="3" t="s">
        <v>34</v>
      </c>
      <c r="G4" s="3" t="s">
        <v>32</v>
      </c>
    </row>
    <row r="5" spans="1:7" x14ac:dyDescent="0.5">
      <c r="A5" s="3" t="s">
        <v>23</v>
      </c>
      <c r="B5" s="3" t="s">
        <v>0</v>
      </c>
      <c r="C5" s="10" t="s">
        <v>25</v>
      </c>
      <c r="D5" s="3" t="s">
        <v>16</v>
      </c>
      <c r="E5" s="3"/>
      <c r="F5" s="3" t="s">
        <v>34</v>
      </c>
      <c r="G5" s="3" t="s">
        <v>32</v>
      </c>
    </row>
    <row r="6" spans="1:7" x14ac:dyDescent="0.5">
      <c r="A6" s="3" t="s">
        <v>17</v>
      </c>
      <c r="B6" s="3" t="s">
        <v>14</v>
      </c>
      <c r="C6" s="10" t="s">
        <v>25</v>
      </c>
      <c r="D6" s="3" t="s">
        <v>16</v>
      </c>
      <c r="E6" s="3" t="s">
        <v>17</v>
      </c>
      <c r="F6" s="3" t="s">
        <v>34</v>
      </c>
      <c r="G6" s="3" t="s">
        <v>32</v>
      </c>
    </row>
    <row r="7" spans="1:7" x14ac:dyDescent="0.5">
      <c r="A7" s="4" t="s">
        <v>8</v>
      </c>
      <c r="B7" s="4" t="s">
        <v>8</v>
      </c>
      <c r="C7" s="9" t="s">
        <v>26</v>
      </c>
      <c r="D7" s="4" t="s">
        <v>24</v>
      </c>
      <c r="E7" s="4"/>
      <c r="F7" s="4" t="s">
        <v>34</v>
      </c>
      <c r="G7" s="4" t="s">
        <v>32</v>
      </c>
    </row>
    <row r="8" spans="1:7" x14ac:dyDescent="0.5">
      <c r="A8" s="4" t="s">
        <v>19</v>
      </c>
      <c r="B8" s="4" t="s">
        <v>19</v>
      </c>
      <c r="C8" s="9" t="s">
        <v>26</v>
      </c>
      <c r="D8" s="4" t="s">
        <v>24</v>
      </c>
      <c r="E8" s="4" t="s">
        <v>29</v>
      </c>
      <c r="F8" s="4" t="s">
        <v>34</v>
      </c>
      <c r="G8" s="4" t="s">
        <v>32</v>
      </c>
    </row>
    <row r="9" spans="1:7" x14ac:dyDescent="0.5">
      <c r="A9" s="4" t="s">
        <v>20</v>
      </c>
      <c r="B9" s="4" t="s">
        <v>20</v>
      </c>
      <c r="C9" s="9" t="s">
        <v>26</v>
      </c>
      <c r="D9" s="4" t="s">
        <v>24</v>
      </c>
      <c r="E9" s="4"/>
      <c r="F9" s="4" t="s">
        <v>34</v>
      </c>
      <c r="G9" s="4" t="s">
        <v>32</v>
      </c>
    </row>
    <row r="10" spans="1:7" x14ac:dyDescent="0.5">
      <c r="A10" s="5" t="s">
        <v>9</v>
      </c>
      <c r="B10" s="5" t="s">
        <v>11</v>
      </c>
      <c r="C10" s="8" t="s">
        <v>27</v>
      </c>
      <c r="D10" s="5" t="s">
        <v>24</v>
      </c>
      <c r="E10" s="5"/>
      <c r="F10" s="5" t="s">
        <v>34</v>
      </c>
      <c r="G10" s="5" t="s">
        <v>32</v>
      </c>
    </row>
    <row r="11" spans="1:7" x14ac:dyDescent="0.5">
      <c r="A11" s="5" t="s">
        <v>28</v>
      </c>
      <c r="B11" s="5" t="s">
        <v>12</v>
      </c>
      <c r="C11" s="8" t="s">
        <v>27</v>
      </c>
      <c r="D11" s="5" t="s">
        <v>24</v>
      </c>
      <c r="E11" s="5" t="s">
        <v>10</v>
      </c>
      <c r="F11" s="5" t="s">
        <v>34</v>
      </c>
      <c r="G11" s="5" t="s">
        <v>32</v>
      </c>
    </row>
    <row r="12" spans="1:7" x14ac:dyDescent="0.5">
      <c r="A12" s="5" t="s">
        <v>36</v>
      </c>
      <c r="B12" s="5" t="s">
        <v>13</v>
      </c>
      <c r="C12" s="8" t="s">
        <v>27</v>
      </c>
      <c r="D12" s="5" t="s">
        <v>24</v>
      </c>
      <c r="E12" s="5"/>
      <c r="F12" s="5" t="s">
        <v>34</v>
      </c>
      <c r="G12" s="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B644C-8F2C-4552-B574-6E0D91B16DB9}">
  <dimension ref="A1:F295"/>
  <sheetViews>
    <sheetView workbookViewId="0">
      <pane xSplit="1" ySplit="1" topLeftCell="B32" activePane="bottomRight" state="frozen"/>
      <selection pane="topRight" activeCell="B1" sqref="B1"/>
      <selection pane="bottomLeft" activeCell="A2" sqref="A2"/>
      <selection pane="bottomRight" activeCell="I8" sqref="I8"/>
    </sheetView>
  </sheetViews>
  <sheetFormatPr baseColWidth="10" defaultRowHeight="15.75" x14ac:dyDescent="0.5"/>
  <cols>
    <col min="1" max="1" width="14.375" bestFit="1" customWidth="1"/>
    <col min="2" max="3" width="9.6875" bestFit="1" customWidth="1"/>
    <col min="4" max="4" width="10.9375" bestFit="1" customWidth="1"/>
    <col min="5" max="5" width="10.375" bestFit="1" customWidth="1"/>
    <col min="6" max="6" width="8.6875" bestFit="1" customWidth="1"/>
  </cols>
  <sheetData>
    <row r="1" spans="1:6" x14ac:dyDescent="0.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14</v>
      </c>
    </row>
    <row r="2" spans="1:6" x14ac:dyDescent="0.5">
      <c r="A2">
        <v>18994</v>
      </c>
      <c r="B2">
        <v>1565.288</v>
      </c>
      <c r="C2">
        <v>2727.9540000000002</v>
      </c>
      <c r="D2">
        <v>13.19</v>
      </c>
      <c r="E2">
        <v>1.57</v>
      </c>
      <c r="F2">
        <v>104863</v>
      </c>
    </row>
    <row r="3" spans="1:6" x14ac:dyDescent="0.5">
      <c r="A3">
        <v>19085</v>
      </c>
      <c r="B3">
        <v>1595.941</v>
      </c>
      <c r="C3">
        <v>2733.8</v>
      </c>
      <c r="D3">
        <v>13.206</v>
      </c>
      <c r="E3">
        <v>1.65</v>
      </c>
      <c r="F3">
        <v>105007</v>
      </c>
    </row>
    <row r="4" spans="1:6" x14ac:dyDescent="0.5">
      <c r="A4">
        <v>19176</v>
      </c>
      <c r="B4">
        <v>1603.596</v>
      </c>
      <c r="C4">
        <v>2753.5169999999998</v>
      </c>
      <c r="D4">
        <v>13.353999999999999</v>
      </c>
      <c r="E4">
        <v>1.78</v>
      </c>
      <c r="F4">
        <v>105343</v>
      </c>
    </row>
    <row r="5" spans="1:6" x14ac:dyDescent="0.5">
      <c r="A5">
        <v>19268</v>
      </c>
      <c r="B5">
        <v>1660.1679999999999</v>
      </c>
      <c r="C5">
        <v>2843.9409999999998</v>
      </c>
      <c r="D5">
        <v>13.39</v>
      </c>
      <c r="E5">
        <v>1.89</v>
      </c>
      <c r="F5">
        <v>105703</v>
      </c>
    </row>
    <row r="6" spans="1:6" x14ac:dyDescent="0.5">
      <c r="A6">
        <v>19360</v>
      </c>
      <c r="B6">
        <v>1679.665</v>
      </c>
      <c r="C6">
        <v>2896.8110000000001</v>
      </c>
      <c r="D6">
        <v>13.393000000000001</v>
      </c>
      <c r="E6">
        <v>1.98</v>
      </c>
      <c r="F6">
        <v>106672</v>
      </c>
    </row>
    <row r="7" spans="1:6" x14ac:dyDescent="0.5">
      <c r="A7">
        <v>19450</v>
      </c>
      <c r="B7">
        <v>1689.777</v>
      </c>
      <c r="C7">
        <v>2919.2060000000001</v>
      </c>
      <c r="D7">
        <v>13.42</v>
      </c>
      <c r="E7">
        <v>2.15</v>
      </c>
      <c r="F7">
        <v>106905</v>
      </c>
    </row>
    <row r="8" spans="1:6" x14ac:dyDescent="0.5">
      <c r="A8">
        <v>19541</v>
      </c>
      <c r="B8">
        <v>1685.752</v>
      </c>
      <c r="C8">
        <v>2902.7849999999999</v>
      </c>
      <c r="D8">
        <v>13.476000000000001</v>
      </c>
      <c r="E8">
        <v>1.96</v>
      </c>
      <c r="F8">
        <v>107140</v>
      </c>
    </row>
    <row r="9" spans="1:6" x14ac:dyDescent="0.5">
      <c r="A9">
        <v>19633</v>
      </c>
      <c r="B9">
        <v>1674.4490000000001</v>
      </c>
      <c r="C9">
        <v>2858.8449999999998</v>
      </c>
      <c r="D9">
        <v>13.500999999999999</v>
      </c>
      <c r="E9">
        <v>1.47</v>
      </c>
      <c r="F9">
        <v>107503</v>
      </c>
    </row>
    <row r="10" spans="1:6" x14ac:dyDescent="0.5">
      <c r="A10">
        <v>19725</v>
      </c>
      <c r="B10">
        <v>1680.625</v>
      </c>
      <c r="C10">
        <v>2845.192</v>
      </c>
      <c r="D10">
        <v>13.544</v>
      </c>
      <c r="E10">
        <v>1.06</v>
      </c>
      <c r="F10">
        <v>107877</v>
      </c>
    </row>
    <row r="11" spans="1:6" x14ac:dyDescent="0.5">
      <c r="A11">
        <v>19815</v>
      </c>
      <c r="B11">
        <v>1702.4490000000001</v>
      </c>
      <c r="C11">
        <v>2848.3049999999998</v>
      </c>
      <c r="D11">
        <v>13.555999999999999</v>
      </c>
      <c r="E11">
        <v>0.79</v>
      </c>
      <c r="F11">
        <v>108177</v>
      </c>
    </row>
    <row r="12" spans="1:6" x14ac:dyDescent="0.5">
      <c r="A12">
        <v>19906</v>
      </c>
      <c r="B12">
        <v>1725.489</v>
      </c>
      <c r="C12">
        <v>2880.482</v>
      </c>
      <c r="D12">
        <v>13.574</v>
      </c>
      <c r="E12">
        <v>0.88</v>
      </c>
      <c r="F12">
        <v>108443</v>
      </c>
    </row>
    <row r="13" spans="1:6" x14ac:dyDescent="0.5">
      <c r="A13">
        <v>19998</v>
      </c>
      <c r="B13">
        <v>1761.703</v>
      </c>
      <c r="C13">
        <v>2936.8519999999999</v>
      </c>
      <c r="D13">
        <v>13.611000000000001</v>
      </c>
      <c r="E13">
        <v>1.02</v>
      </c>
      <c r="F13">
        <v>108786</v>
      </c>
    </row>
    <row r="14" spans="1:6" x14ac:dyDescent="0.5">
      <c r="A14">
        <v>20090</v>
      </c>
      <c r="B14">
        <v>1801.231</v>
      </c>
      <c r="C14">
        <v>3020.7460000000001</v>
      </c>
      <c r="D14">
        <v>13.675000000000001</v>
      </c>
      <c r="E14">
        <v>1.22</v>
      </c>
      <c r="F14">
        <v>109130</v>
      </c>
    </row>
    <row r="15" spans="1:6" x14ac:dyDescent="0.5">
      <c r="A15">
        <v>20180</v>
      </c>
      <c r="B15">
        <v>1835.7370000000001</v>
      </c>
      <c r="C15">
        <v>3069.91</v>
      </c>
      <c r="D15">
        <v>13.731</v>
      </c>
      <c r="E15">
        <v>1.48</v>
      </c>
      <c r="F15">
        <v>109534</v>
      </c>
    </row>
    <row r="16" spans="1:6" x14ac:dyDescent="0.5">
      <c r="A16">
        <v>20271</v>
      </c>
      <c r="B16">
        <v>1858.4110000000001</v>
      </c>
      <c r="C16">
        <v>3111.3789999999999</v>
      </c>
      <c r="D16">
        <v>13.827</v>
      </c>
      <c r="E16">
        <v>1.86</v>
      </c>
      <c r="F16">
        <v>109884</v>
      </c>
    </row>
    <row r="17" spans="1:6" x14ac:dyDescent="0.5">
      <c r="A17">
        <v>20363</v>
      </c>
      <c r="B17">
        <v>1881.748</v>
      </c>
      <c r="C17">
        <v>3130.0680000000002</v>
      </c>
      <c r="D17">
        <v>13.964</v>
      </c>
      <c r="E17">
        <v>2.34</v>
      </c>
      <c r="F17">
        <v>110186</v>
      </c>
    </row>
    <row r="18" spans="1:6" x14ac:dyDescent="0.5">
      <c r="A18">
        <v>20455</v>
      </c>
      <c r="B18">
        <v>1884.8050000000001</v>
      </c>
      <c r="C18">
        <v>3117.922</v>
      </c>
      <c r="D18">
        <v>14.103999999999999</v>
      </c>
      <c r="E18">
        <v>2.33</v>
      </c>
      <c r="F18">
        <v>110483</v>
      </c>
    </row>
    <row r="19" spans="1:6" x14ac:dyDescent="0.5">
      <c r="A19">
        <v>20546</v>
      </c>
      <c r="B19">
        <v>1891.0740000000001</v>
      </c>
      <c r="C19">
        <v>3143.694</v>
      </c>
      <c r="D19">
        <v>14.186999999999999</v>
      </c>
      <c r="E19">
        <v>2.57</v>
      </c>
      <c r="F19">
        <v>110788</v>
      </c>
    </row>
    <row r="20" spans="1:6" x14ac:dyDescent="0.5">
      <c r="A20">
        <v>20637</v>
      </c>
      <c r="B20">
        <v>1895.35</v>
      </c>
      <c r="C20">
        <v>3140.8739999999998</v>
      </c>
      <c r="D20">
        <v>14.365</v>
      </c>
      <c r="E20">
        <v>2.58</v>
      </c>
      <c r="F20">
        <v>111113</v>
      </c>
    </row>
    <row r="21" spans="1:6" x14ac:dyDescent="0.5">
      <c r="A21">
        <v>20729</v>
      </c>
      <c r="B21">
        <v>1921.479</v>
      </c>
      <c r="C21">
        <v>3192.57</v>
      </c>
      <c r="D21">
        <v>14.423</v>
      </c>
      <c r="E21">
        <v>3.03</v>
      </c>
      <c r="F21">
        <v>111431</v>
      </c>
    </row>
    <row r="22" spans="1:6" x14ac:dyDescent="0.5">
      <c r="A22">
        <v>20821</v>
      </c>
      <c r="B22">
        <v>1934.8430000000001</v>
      </c>
      <c r="C22">
        <v>3213.011</v>
      </c>
      <c r="D22">
        <v>14.621</v>
      </c>
      <c r="E22">
        <v>3.1</v>
      </c>
      <c r="F22">
        <v>111720</v>
      </c>
    </row>
    <row r="23" spans="1:6" x14ac:dyDescent="0.5">
      <c r="A23">
        <v>20911</v>
      </c>
      <c r="B23">
        <v>1938.2159999999999</v>
      </c>
      <c r="C23">
        <v>3205.97</v>
      </c>
      <c r="D23">
        <v>14.723000000000001</v>
      </c>
      <c r="E23">
        <v>3.14</v>
      </c>
      <c r="F23">
        <v>112045</v>
      </c>
    </row>
    <row r="24" spans="1:6" x14ac:dyDescent="0.5">
      <c r="A24">
        <v>21002</v>
      </c>
      <c r="B24">
        <v>1953.5319999999999</v>
      </c>
      <c r="C24">
        <v>3237.386</v>
      </c>
      <c r="D24">
        <v>14.811</v>
      </c>
      <c r="E24">
        <v>3.35</v>
      </c>
      <c r="F24">
        <v>112431</v>
      </c>
    </row>
    <row r="25" spans="1:6" x14ac:dyDescent="0.5">
      <c r="A25">
        <v>21094</v>
      </c>
      <c r="B25">
        <v>1954.346</v>
      </c>
      <c r="C25">
        <v>3203.8939999999998</v>
      </c>
      <c r="D25">
        <v>14.821</v>
      </c>
      <c r="E25">
        <v>3.31</v>
      </c>
      <c r="F25">
        <v>112866</v>
      </c>
    </row>
    <row r="26" spans="1:6" x14ac:dyDescent="0.5">
      <c r="A26">
        <v>21186</v>
      </c>
      <c r="B26">
        <v>1927.309</v>
      </c>
      <c r="C26">
        <v>3120.7240000000002</v>
      </c>
      <c r="D26">
        <v>14.981999999999999</v>
      </c>
      <c r="E26">
        <v>1.76</v>
      </c>
      <c r="F26">
        <v>113236</v>
      </c>
    </row>
    <row r="27" spans="1:6" x14ac:dyDescent="0.5">
      <c r="A27">
        <v>21276</v>
      </c>
      <c r="B27">
        <v>1943.2429999999999</v>
      </c>
      <c r="C27">
        <v>3141.2240000000002</v>
      </c>
      <c r="D27">
        <v>15.025</v>
      </c>
      <c r="E27">
        <v>0.96</v>
      </c>
      <c r="F27">
        <v>113532</v>
      </c>
    </row>
    <row r="28" spans="1:6" x14ac:dyDescent="0.5">
      <c r="A28">
        <v>21367</v>
      </c>
      <c r="B28">
        <v>1975.4839999999999</v>
      </c>
      <c r="C28">
        <v>3213.884</v>
      </c>
      <c r="D28">
        <v>15.117000000000001</v>
      </c>
      <c r="E28">
        <v>1.68</v>
      </c>
      <c r="F28">
        <v>113846</v>
      </c>
    </row>
    <row r="29" spans="1:6" x14ac:dyDescent="0.5">
      <c r="A29">
        <v>21459</v>
      </c>
      <c r="B29">
        <v>2002.318</v>
      </c>
      <c r="C29">
        <v>3289.0320000000002</v>
      </c>
      <c r="D29">
        <v>15.189</v>
      </c>
      <c r="E29">
        <v>2.69</v>
      </c>
      <c r="F29">
        <v>114283</v>
      </c>
    </row>
    <row r="30" spans="1:6" x14ac:dyDescent="0.5">
      <c r="A30">
        <v>21551</v>
      </c>
      <c r="B30">
        <v>2039.0170000000001</v>
      </c>
      <c r="C30">
        <v>3352.1289999999999</v>
      </c>
      <c r="D30">
        <v>15.224</v>
      </c>
      <c r="E30">
        <v>2.77</v>
      </c>
      <c r="F30">
        <v>114714</v>
      </c>
    </row>
    <row r="31" spans="1:6" x14ac:dyDescent="0.5">
      <c r="A31">
        <v>21641</v>
      </c>
      <c r="B31">
        <v>2070.5079999999998</v>
      </c>
      <c r="C31">
        <v>3427.6669999999999</v>
      </c>
      <c r="D31">
        <v>15.247999999999999</v>
      </c>
      <c r="E31">
        <v>3</v>
      </c>
      <c r="F31">
        <v>115139</v>
      </c>
    </row>
    <row r="32" spans="1:6" x14ac:dyDescent="0.5">
      <c r="A32">
        <v>21732</v>
      </c>
      <c r="B32">
        <v>2092.1379999999999</v>
      </c>
      <c r="C32">
        <v>3430.0569999999998</v>
      </c>
      <c r="D32">
        <v>15.307</v>
      </c>
      <c r="E32">
        <v>3.54</v>
      </c>
      <c r="F32">
        <v>115551</v>
      </c>
    </row>
    <row r="33" spans="1:6" x14ac:dyDescent="0.5">
      <c r="A33">
        <v>21824</v>
      </c>
      <c r="B33">
        <v>2094.4949999999999</v>
      </c>
      <c r="C33">
        <v>3439.8319999999999</v>
      </c>
      <c r="D33">
        <v>15.367000000000001</v>
      </c>
      <c r="E33">
        <v>4.2300000000000004</v>
      </c>
      <c r="F33">
        <v>115918</v>
      </c>
    </row>
    <row r="34" spans="1:6" x14ac:dyDescent="0.5">
      <c r="A34">
        <v>21916</v>
      </c>
      <c r="B34">
        <v>2114.5320000000002</v>
      </c>
      <c r="C34">
        <v>3517.181</v>
      </c>
      <c r="D34">
        <v>15.428000000000001</v>
      </c>
      <c r="E34">
        <v>3.87</v>
      </c>
      <c r="F34">
        <v>116708</v>
      </c>
    </row>
    <row r="35" spans="1:6" x14ac:dyDescent="0.5">
      <c r="A35">
        <v>22007</v>
      </c>
      <c r="B35">
        <v>2141.2049999999999</v>
      </c>
      <c r="C35">
        <v>3498.2460000000001</v>
      </c>
      <c r="D35">
        <v>15.467000000000001</v>
      </c>
      <c r="E35">
        <v>2.99</v>
      </c>
      <c r="F35">
        <v>117037</v>
      </c>
    </row>
    <row r="36" spans="1:6" x14ac:dyDescent="0.5">
      <c r="A36">
        <v>22098</v>
      </c>
      <c r="B36">
        <v>2132.6460000000002</v>
      </c>
      <c r="C36">
        <v>3515.3850000000002</v>
      </c>
      <c r="D36">
        <v>15.52</v>
      </c>
      <c r="E36">
        <v>2.36</v>
      </c>
      <c r="F36">
        <v>117411</v>
      </c>
    </row>
    <row r="37" spans="1:6" x14ac:dyDescent="0.5">
      <c r="A37">
        <v>22190</v>
      </c>
      <c r="B37">
        <v>2135.4079999999999</v>
      </c>
      <c r="C37">
        <v>3470.2779999999998</v>
      </c>
      <c r="D37">
        <v>15.566000000000001</v>
      </c>
      <c r="E37">
        <v>2.31</v>
      </c>
      <c r="F37">
        <v>117824</v>
      </c>
    </row>
    <row r="38" spans="1:6" x14ac:dyDescent="0.5">
      <c r="A38">
        <v>22282</v>
      </c>
      <c r="B38">
        <v>2134.6149999999998</v>
      </c>
      <c r="C38">
        <v>3493.703</v>
      </c>
      <c r="D38">
        <v>15.6</v>
      </c>
      <c r="E38">
        <v>2.35</v>
      </c>
      <c r="F38">
        <v>118254</v>
      </c>
    </row>
    <row r="39" spans="1:6" x14ac:dyDescent="0.5">
      <c r="A39">
        <v>22372</v>
      </c>
      <c r="B39">
        <v>2166.3820000000001</v>
      </c>
      <c r="C39">
        <v>3553.0210000000002</v>
      </c>
      <c r="D39">
        <v>15.635999999999999</v>
      </c>
      <c r="E39">
        <v>2.2999999999999998</v>
      </c>
      <c r="F39">
        <v>118636</v>
      </c>
    </row>
    <row r="40" spans="1:6" x14ac:dyDescent="0.5">
      <c r="A40">
        <v>22463</v>
      </c>
      <c r="B40">
        <v>2176.9160000000002</v>
      </c>
      <c r="C40">
        <v>3621.252</v>
      </c>
      <c r="D40">
        <v>15.676</v>
      </c>
      <c r="E40">
        <v>2.2999999999999998</v>
      </c>
      <c r="F40">
        <v>119001</v>
      </c>
    </row>
    <row r="41" spans="1:6" x14ac:dyDescent="0.5">
      <c r="A41">
        <v>22555</v>
      </c>
      <c r="B41">
        <v>2220.7040000000002</v>
      </c>
      <c r="C41">
        <v>3692.2890000000002</v>
      </c>
      <c r="D41">
        <v>15.725</v>
      </c>
      <c r="E41">
        <v>2.46</v>
      </c>
      <c r="F41">
        <v>119190</v>
      </c>
    </row>
    <row r="42" spans="1:6" x14ac:dyDescent="0.5">
      <c r="A42">
        <v>22647</v>
      </c>
      <c r="B42">
        <v>2244.2269999999999</v>
      </c>
      <c r="C42">
        <v>3758.1469999999999</v>
      </c>
      <c r="D42">
        <v>15.805999999999999</v>
      </c>
      <c r="E42">
        <v>2.72</v>
      </c>
      <c r="F42">
        <v>119379</v>
      </c>
    </row>
    <row r="43" spans="1:6" x14ac:dyDescent="0.5">
      <c r="A43">
        <v>22737</v>
      </c>
      <c r="B43">
        <v>2271.817</v>
      </c>
      <c r="C43">
        <v>3792.1489999999999</v>
      </c>
      <c r="D43">
        <v>15.832000000000001</v>
      </c>
      <c r="E43">
        <v>2.72</v>
      </c>
      <c r="F43">
        <v>119819</v>
      </c>
    </row>
    <row r="44" spans="1:6" x14ac:dyDescent="0.5">
      <c r="A44">
        <v>22828</v>
      </c>
      <c r="B44">
        <v>2290.1260000000002</v>
      </c>
      <c r="C44">
        <v>3838.7759999999998</v>
      </c>
      <c r="D44">
        <v>15.865</v>
      </c>
      <c r="E44">
        <v>2.84</v>
      </c>
      <c r="F44">
        <v>120368</v>
      </c>
    </row>
    <row r="45" spans="1:6" x14ac:dyDescent="0.5">
      <c r="A45">
        <v>22920</v>
      </c>
      <c r="B45">
        <v>2322.5300000000002</v>
      </c>
      <c r="C45">
        <v>3851.4209999999998</v>
      </c>
      <c r="D45">
        <v>15.898</v>
      </c>
      <c r="E45">
        <v>2.81</v>
      </c>
      <c r="F45">
        <v>121046</v>
      </c>
    </row>
    <row r="46" spans="1:6" x14ac:dyDescent="0.5">
      <c r="A46">
        <v>23012</v>
      </c>
      <c r="B46">
        <v>2338.799</v>
      </c>
      <c r="C46">
        <v>3893.482</v>
      </c>
      <c r="D46">
        <v>15.967000000000001</v>
      </c>
      <c r="E46">
        <v>2.91</v>
      </c>
      <c r="F46">
        <v>121640</v>
      </c>
    </row>
    <row r="47" spans="1:6" x14ac:dyDescent="0.5">
      <c r="A47">
        <v>23102</v>
      </c>
      <c r="B47">
        <v>2360.8690000000001</v>
      </c>
      <c r="C47">
        <v>3937.183</v>
      </c>
      <c r="D47">
        <v>15.994999999999999</v>
      </c>
      <c r="E47">
        <v>2.94</v>
      </c>
      <c r="F47">
        <v>122167</v>
      </c>
    </row>
    <row r="48" spans="1:6" x14ac:dyDescent="0.5">
      <c r="A48">
        <v>23193</v>
      </c>
      <c r="B48">
        <v>2392.8960000000002</v>
      </c>
      <c r="C48">
        <v>4023.7550000000001</v>
      </c>
      <c r="D48">
        <v>16.015999999999998</v>
      </c>
      <c r="E48">
        <v>3.29</v>
      </c>
      <c r="F48">
        <v>122670</v>
      </c>
    </row>
    <row r="49" spans="1:6" x14ac:dyDescent="0.5">
      <c r="A49">
        <v>23285</v>
      </c>
      <c r="B49">
        <v>2412.8359999999998</v>
      </c>
      <c r="C49">
        <v>4050.1469999999999</v>
      </c>
      <c r="D49">
        <v>16.146000000000001</v>
      </c>
      <c r="E49">
        <v>3.5</v>
      </c>
      <c r="F49">
        <v>123189</v>
      </c>
    </row>
    <row r="50" spans="1:6" x14ac:dyDescent="0.5">
      <c r="A50">
        <v>23377</v>
      </c>
      <c r="B50">
        <v>2460.1909999999998</v>
      </c>
      <c r="C50">
        <v>4135.5529999999999</v>
      </c>
      <c r="D50">
        <v>16.196999999999999</v>
      </c>
      <c r="E50">
        <v>3.53</v>
      </c>
      <c r="F50">
        <v>123708</v>
      </c>
    </row>
    <row r="51" spans="1:6" x14ac:dyDescent="0.5">
      <c r="A51">
        <v>23468</v>
      </c>
      <c r="B51">
        <v>2503.7089999999998</v>
      </c>
      <c r="C51">
        <v>4180.5919999999996</v>
      </c>
      <c r="D51">
        <v>16.234000000000002</v>
      </c>
      <c r="E51">
        <v>3.48</v>
      </c>
      <c r="F51">
        <v>124203</v>
      </c>
    </row>
    <row r="52" spans="1:6" x14ac:dyDescent="0.5">
      <c r="A52">
        <v>23559</v>
      </c>
      <c r="B52">
        <v>2549.9580000000001</v>
      </c>
      <c r="C52">
        <v>4245.9179999999997</v>
      </c>
      <c r="D52">
        <v>16.298999999999999</v>
      </c>
      <c r="E52">
        <v>3.5</v>
      </c>
      <c r="F52">
        <v>124739</v>
      </c>
    </row>
    <row r="53" spans="1:6" x14ac:dyDescent="0.5">
      <c r="A53">
        <v>23651</v>
      </c>
      <c r="B53">
        <v>2557.2359999999999</v>
      </c>
      <c r="C53">
        <v>4259.0460000000003</v>
      </c>
      <c r="D53">
        <v>16.373000000000001</v>
      </c>
      <c r="E53">
        <v>3.68</v>
      </c>
      <c r="F53">
        <v>125289</v>
      </c>
    </row>
    <row r="54" spans="1:6" x14ac:dyDescent="0.5">
      <c r="A54">
        <v>23743</v>
      </c>
      <c r="B54">
        <v>2614.2649999999999</v>
      </c>
      <c r="C54">
        <v>4362.1109999999999</v>
      </c>
      <c r="D54">
        <v>16.454999999999998</v>
      </c>
      <c r="E54">
        <v>3.89</v>
      </c>
      <c r="F54">
        <v>125814</v>
      </c>
    </row>
    <row r="55" spans="1:6" x14ac:dyDescent="0.5">
      <c r="A55">
        <v>23833</v>
      </c>
      <c r="B55">
        <v>2643.0970000000002</v>
      </c>
      <c r="C55">
        <v>4417.2250000000004</v>
      </c>
      <c r="D55">
        <v>16.530999999999999</v>
      </c>
      <c r="E55">
        <v>3.87</v>
      </c>
      <c r="F55">
        <v>126325</v>
      </c>
    </row>
    <row r="56" spans="1:6" x14ac:dyDescent="0.5">
      <c r="A56">
        <v>23924</v>
      </c>
      <c r="B56">
        <v>2688.5120000000002</v>
      </c>
      <c r="C56">
        <v>4515.4269999999997</v>
      </c>
      <c r="D56">
        <v>16.594999999999999</v>
      </c>
      <c r="E56">
        <v>3.87</v>
      </c>
      <c r="F56">
        <v>126745</v>
      </c>
    </row>
    <row r="57" spans="1:6" x14ac:dyDescent="0.5">
      <c r="A57">
        <v>24016</v>
      </c>
      <c r="B57">
        <v>2764.0940000000001</v>
      </c>
      <c r="C57">
        <v>4619.4579999999996</v>
      </c>
      <c r="D57">
        <v>16.709</v>
      </c>
      <c r="E57">
        <v>4.17</v>
      </c>
      <c r="F57">
        <v>127169</v>
      </c>
    </row>
    <row r="58" spans="1:6" x14ac:dyDescent="0.5">
      <c r="A58">
        <v>24108</v>
      </c>
      <c r="B58">
        <v>2804.8989999999999</v>
      </c>
      <c r="C58">
        <v>4731.8879999999999</v>
      </c>
      <c r="D58">
        <v>16.815999999999999</v>
      </c>
      <c r="E58">
        <v>4.6100000000000003</v>
      </c>
      <c r="F58">
        <v>127511</v>
      </c>
    </row>
    <row r="59" spans="1:6" x14ac:dyDescent="0.5">
      <c r="A59">
        <v>24198</v>
      </c>
      <c r="B59">
        <v>2812.0859999999998</v>
      </c>
      <c r="C59">
        <v>4748.0460000000003</v>
      </c>
      <c r="D59">
        <v>16.954000000000001</v>
      </c>
      <c r="E59">
        <v>4.59</v>
      </c>
      <c r="F59">
        <v>127869</v>
      </c>
    </row>
    <row r="60" spans="1:6" x14ac:dyDescent="0.5">
      <c r="A60">
        <v>24289</v>
      </c>
      <c r="B60">
        <v>2844.1979999999999</v>
      </c>
      <c r="C60">
        <v>4788.2539999999999</v>
      </c>
      <c r="D60">
        <v>17.117999999999999</v>
      </c>
      <c r="E60">
        <v>5.04</v>
      </c>
      <c r="F60">
        <v>128234</v>
      </c>
    </row>
    <row r="61" spans="1:6" x14ac:dyDescent="0.5">
      <c r="A61">
        <v>24381</v>
      </c>
      <c r="B61">
        <v>2856.047</v>
      </c>
      <c r="C61">
        <v>4827.5370000000003</v>
      </c>
      <c r="D61">
        <v>17.260999999999999</v>
      </c>
      <c r="E61">
        <v>5.21</v>
      </c>
      <c r="F61">
        <v>128617</v>
      </c>
    </row>
    <row r="62" spans="1:6" x14ac:dyDescent="0.5">
      <c r="A62">
        <v>24473</v>
      </c>
      <c r="B62">
        <v>2872.5039999999999</v>
      </c>
      <c r="C62">
        <v>4870.299</v>
      </c>
      <c r="D62">
        <v>17.332999999999998</v>
      </c>
      <c r="E62">
        <v>4.51</v>
      </c>
      <c r="F62">
        <v>129044</v>
      </c>
    </row>
    <row r="63" spans="1:6" x14ac:dyDescent="0.5">
      <c r="A63">
        <v>24563</v>
      </c>
      <c r="B63">
        <v>2911.7759999999998</v>
      </c>
      <c r="C63">
        <v>4873.2870000000003</v>
      </c>
      <c r="D63">
        <v>17.420999999999999</v>
      </c>
      <c r="E63">
        <v>3.66</v>
      </c>
      <c r="F63">
        <v>129527</v>
      </c>
    </row>
    <row r="64" spans="1:6" x14ac:dyDescent="0.5">
      <c r="A64">
        <v>24654</v>
      </c>
      <c r="B64">
        <v>2926.6849999999999</v>
      </c>
      <c r="C64">
        <v>4919.3919999999998</v>
      </c>
      <c r="D64">
        <v>17.588000000000001</v>
      </c>
      <c r="E64">
        <v>4.3</v>
      </c>
      <c r="F64">
        <v>130166</v>
      </c>
    </row>
    <row r="65" spans="1:6" x14ac:dyDescent="0.5">
      <c r="A65">
        <v>24746</v>
      </c>
      <c r="B65">
        <v>2944.5940000000001</v>
      </c>
      <c r="C65">
        <v>4956.4769999999999</v>
      </c>
      <c r="D65">
        <v>17.783999999999999</v>
      </c>
      <c r="E65">
        <v>4.75</v>
      </c>
      <c r="F65">
        <v>130757</v>
      </c>
    </row>
    <row r="66" spans="1:6" x14ac:dyDescent="0.5">
      <c r="A66">
        <v>24838</v>
      </c>
      <c r="B66">
        <v>3015.1619999999998</v>
      </c>
      <c r="C66">
        <v>5057.5529999999999</v>
      </c>
      <c r="D66">
        <v>17.981000000000002</v>
      </c>
      <c r="E66">
        <v>5.05</v>
      </c>
      <c r="F66">
        <v>131267</v>
      </c>
    </row>
    <row r="67" spans="1:6" x14ac:dyDescent="0.5">
      <c r="A67">
        <v>24929</v>
      </c>
      <c r="B67">
        <v>3061.0749999999998</v>
      </c>
      <c r="C67">
        <v>5142.0330000000004</v>
      </c>
      <c r="D67">
        <v>18.170999999999999</v>
      </c>
      <c r="E67">
        <v>5.52</v>
      </c>
      <c r="F67">
        <v>131712</v>
      </c>
    </row>
    <row r="68" spans="1:6" x14ac:dyDescent="0.5">
      <c r="A68">
        <v>25020</v>
      </c>
      <c r="B68">
        <v>3118.4450000000002</v>
      </c>
      <c r="C68">
        <v>5181.8590000000004</v>
      </c>
      <c r="D68">
        <v>18.349</v>
      </c>
      <c r="E68">
        <v>5.2</v>
      </c>
      <c r="F68">
        <v>132250</v>
      </c>
    </row>
    <row r="69" spans="1:6" x14ac:dyDescent="0.5">
      <c r="A69">
        <v>25112</v>
      </c>
      <c r="B69">
        <v>3132.511</v>
      </c>
      <c r="C69">
        <v>5202.2120000000004</v>
      </c>
      <c r="D69">
        <v>18.608000000000001</v>
      </c>
      <c r="E69">
        <v>5.59</v>
      </c>
      <c r="F69">
        <v>132880</v>
      </c>
    </row>
    <row r="70" spans="1:6" x14ac:dyDescent="0.5">
      <c r="A70">
        <v>25204</v>
      </c>
      <c r="B70">
        <v>3167.2449999999999</v>
      </c>
      <c r="C70">
        <v>5283.5969999999998</v>
      </c>
      <c r="D70">
        <v>18.8</v>
      </c>
      <c r="E70">
        <v>6.09</v>
      </c>
      <c r="F70">
        <v>133476</v>
      </c>
    </row>
    <row r="71" spans="1:6" x14ac:dyDescent="0.5">
      <c r="A71">
        <v>25294</v>
      </c>
      <c r="B71">
        <v>3187.6770000000001</v>
      </c>
      <c r="C71">
        <v>5299.625</v>
      </c>
      <c r="D71">
        <v>19.039000000000001</v>
      </c>
      <c r="E71">
        <v>6.2</v>
      </c>
      <c r="F71">
        <v>134020</v>
      </c>
    </row>
    <row r="72" spans="1:6" x14ac:dyDescent="0.5">
      <c r="A72">
        <v>25385</v>
      </c>
      <c r="B72">
        <v>3203.2179999999998</v>
      </c>
      <c r="C72">
        <v>5334.6</v>
      </c>
      <c r="D72">
        <v>19.306999999999999</v>
      </c>
      <c r="E72">
        <v>7.02</v>
      </c>
      <c r="F72">
        <v>134595</v>
      </c>
    </row>
    <row r="73" spans="1:6" x14ac:dyDescent="0.5">
      <c r="A73">
        <v>25477</v>
      </c>
      <c r="B73">
        <v>3228.82</v>
      </c>
      <c r="C73">
        <v>5308.5559999999996</v>
      </c>
      <c r="D73">
        <v>19.556000000000001</v>
      </c>
      <c r="E73">
        <v>7.35</v>
      </c>
      <c r="F73">
        <v>135247</v>
      </c>
    </row>
    <row r="74" spans="1:6" x14ac:dyDescent="0.5">
      <c r="A74">
        <v>25569</v>
      </c>
      <c r="B74">
        <v>3248.8530000000001</v>
      </c>
      <c r="C74">
        <v>5300.652</v>
      </c>
      <c r="D74">
        <v>19.832000000000001</v>
      </c>
      <c r="E74">
        <v>7.21</v>
      </c>
      <c r="F74">
        <v>135950</v>
      </c>
    </row>
    <row r="75" spans="1:6" x14ac:dyDescent="0.5">
      <c r="A75">
        <v>25659</v>
      </c>
      <c r="B75">
        <v>3263.5709999999999</v>
      </c>
      <c r="C75">
        <v>5308.1639999999998</v>
      </c>
      <c r="D75">
        <v>20.108000000000001</v>
      </c>
      <c r="E75">
        <v>6.68</v>
      </c>
      <c r="F75">
        <v>136677</v>
      </c>
    </row>
    <row r="76" spans="1:6" x14ac:dyDescent="0.5">
      <c r="A76">
        <v>25750</v>
      </c>
      <c r="B76">
        <v>3292.183</v>
      </c>
      <c r="C76">
        <v>5357.0770000000002</v>
      </c>
      <c r="D76">
        <v>20.273</v>
      </c>
      <c r="E76">
        <v>6.33</v>
      </c>
      <c r="F76">
        <v>137456</v>
      </c>
    </row>
    <row r="77" spans="1:6" x14ac:dyDescent="0.5">
      <c r="A77">
        <v>25842</v>
      </c>
      <c r="B77">
        <v>3283.2449999999999</v>
      </c>
      <c r="C77">
        <v>5299.6719999999996</v>
      </c>
      <c r="D77">
        <v>20.541</v>
      </c>
      <c r="E77">
        <v>5.35</v>
      </c>
      <c r="F77">
        <v>138260</v>
      </c>
    </row>
    <row r="78" spans="1:6" x14ac:dyDescent="0.5">
      <c r="A78">
        <v>25934</v>
      </c>
      <c r="B78">
        <v>3346.268</v>
      </c>
      <c r="C78">
        <v>5443.6189999999997</v>
      </c>
      <c r="D78">
        <v>20.853000000000002</v>
      </c>
      <c r="E78">
        <v>3.84</v>
      </c>
      <c r="F78">
        <v>139034</v>
      </c>
    </row>
    <row r="79" spans="1:6" x14ac:dyDescent="0.5">
      <c r="A79">
        <v>26024</v>
      </c>
      <c r="B79">
        <v>3377.0219999999999</v>
      </c>
      <c r="C79">
        <v>5473.0590000000002</v>
      </c>
      <c r="D79">
        <v>21.126999999999999</v>
      </c>
      <c r="E79">
        <v>4.25</v>
      </c>
      <c r="F79">
        <v>139827</v>
      </c>
    </row>
    <row r="80" spans="1:6" x14ac:dyDescent="0.5">
      <c r="A80">
        <v>26115</v>
      </c>
      <c r="B80">
        <v>3403.9470000000001</v>
      </c>
      <c r="C80">
        <v>5518.0720000000001</v>
      </c>
      <c r="D80">
        <v>21.341999999999999</v>
      </c>
      <c r="E80">
        <v>5.01</v>
      </c>
      <c r="F80">
        <v>140603</v>
      </c>
    </row>
    <row r="81" spans="1:6" x14ac:dyDescent="0.5">
      <c r="A81">
        <v>26207</v>
      </c>
      <c r="B81">
        <v>3460.4270000000001</v>
      </c>
      <c r="C81">
        <v>5531.0320000000002</v>
      </c>
      <c r="D81">
        <v>21.52</v>
      </c>
      <c r="E81">
        <v>4.2300000000000004</v>
      </c>
      <c r="F81">
        <v>141402</v>
      </c>
    </row>
    <row r="82" spans="1:6" x14ac:dyDescent="0.5">
      <c r="A82">
        <v>26299</v>
      </c>
      <c r="B82">
        <v>3506.098</v>
      </c>
      <c r="C82">
        <v>5632.6490000000003</v>
      </c>
      <c r="D82">
        <v>21.847999999999999</v>
      </c>
      <c r="E82">
        <v>3.44</v>
      </c>
      <c r="F82">
        <v>143005</v>
      </c>
    </row>
    <row r="83" spans="1:6" x14ac:dyDescent="0.5">
      <c r="A83">
        <v>26390</v>
      </c>
      <c r="B83">
        <v>3572.8420000000001</v>
      </c>
      <c r="C83">
        <v>5760.47</v>
      </c>
      <c r="D83">
        <v>21.984000000000002</v>
      </c>
      <c r="E83">
        <v>3.77</v>
      </c>
      <c r="F83">
        <v>143759</v>
      </c>
    </row>
    <row r="84" spans="1:6" x14ac:dyDescent="0.5">
      <c r="A84">
        <v>26481</v>
      </c>
      <c r="B84">
        <v>3627.904</v>
      </c>
      <c r="C84">
        <v>5814.8540000000003</v>
      </c>
      <c r="D84">
        <v>22.193999999999999</v>
      </c>
      <c r="E84">
        <v>4.22</v>
      </c>
      <c r="F84">
        <v>144523</v>
      </c>
    </row>
    <row r="85" spans="1:6" x14ac:dyDescent="0.5">
      <c r="A85">
        <v>26573</v>
      </c>
      <c r="B85">
        <v>3713.038</v>
      </c>
      <c r="C85">
        <v>5912.22</v>
      </c>
      <c r="D85">
        <v>22.477</v>
      </c>
      <c r="E85">
        <v>4.8600000000000003</v>
      </c>
      <c r="F85">
        <v>145215</v>
      </c>
    </row>
    <row r="86" spans="1:6" x14ac:dyDescent="0.5">
      <c r="A86">
        <v>26665</v>
      </c>
      <c r="B86">
        <v>3780.8290000000002</v>
      </c>
      <c r="C86">
        <v>6058.5439999999999</v>
      </c>
      <c r="D86">
        <v>22.736000000000001</v>
      </c>
      <c r="E86">
        <v>5.7</v>
      </c>
      <c r="F86">
        <v>145964</v>
      </c>
    </row>
    <row r="87" spans="1:6" x14ac:dyDescent="0.5">
      <c r="A87">
        <v>26755</v>
      </c>
      <c r="B87">
        <v>3779.125</v>
      </c>
      <c r="C87">
        <v>6124.5060000000003</v>
      </c>
      <c r="D87">
        <v>23.085999999999999</v>
      </c>
      <c r="E87">
        <v>6.6</v>
      </c>
      <c r="F87">
        <v>146720</v>
      </c>
    </row>
    <row r="88" spans="1:6" x14ac:dyDescent="0.5">
      <c r="A88">
        <v>26846</v>
      </c>
      <c r="B88">
        <v>3792.4259999999999</v>
      </c>
      <c r="C88">
        <v>6092.3010000000004</v>
      </c>
      <c r="D88">
        <v>23.535</v>
      </c>
      <c r="E88">
        <v>8.32</v>
      </c>
      <c r="F88">
        <v>147478</v>
      </c>
    </row>
    <row r="89" spans="1:6" x14ac:dyDescent="0.5">
      <c r="A89">
        <v>26938</v>
      </c>
      <c r="B89">
        <v>3781.1149999999998</v>
      </c>
      <c r="C89">
        <v>6150.1310000000003</v>
      </c>
      <c r="D89">
        <v>24.004000000000001</v>
      </c>
      <c r="E89">
        <v>7.5</v>
      </c>
      <c r="F89">
        <v>148226</v>
      </c>
    </row>
    <row r="90" spans="1:6" x14ac:dyDescent="0.5">
      <c r="A90">
        <v>27030</v>
      </c>
      <c r="B90">
        <v>3747.2860000000001</v>
      </c>
      <c r="C90">
        <v>6097.2579999999998</v>
      </c>
      <c r="D90">
        <v>24.457000000000001</v>
      </c>
      <c r="E90">
        <v>7.62</v>
      </c>
      <c r="F90">
        <v>148987</v>
      </c>
    </row>
    <row r="91" spans="1:6" x14ac:dyDescent="0.5">
      <c r="A91">
        <v>27120</v>
      </c>
      <c r="B91">
        <v>3760.779</v>
      </c>
      <c r="C91">
        <v>6111.7510000000002</v>
      </c>
      <c r="D91">
        <v>25.035</v>
      </c>
      <c r="E91">
        <v>8.15</v>
      </c>
      <c r="F91">
        <v>149747</v>
      </c>
    </row>
    <row r="92" spans="1:6" x14ac:dyDescent="0.5">
      <c r="A92">
        <v>27211</v>
      </c>
      <c r="B92">
        <v>3776.9340000000002</v>
      </c>
      <c r="C92">
        <v>6053.9780000000001</v>
      </c>
      <c r="D92">
        <v>25.768999999999998</v>
      </c>
      <c r="E92">
        <v>8.19</v>
      </c>
      <c r="F92">
        <v>150498</v>
      </c>
    </row>
    <row r="93" spans="1:6" x14ac:dyDescent="0.5">
      <c r="A93">
        <v>27303</v>
      </c>
      <c r="B93">
        <v>3721.7260000000001</v>
      </c>
      <c r="C93">
        <v>6030.4639999999999</v>
      </c>
      <c r="D93">
        <v>26.527000000000001</v>
      </c>
      <c r="E93">
        <v>7.36</v>
      </c>
      <c r="F93">
        <v>151253</v>
      </c>
    </row>
    <row r="94" spans="1:6" x14ac:dyDescent="0.5">
      <c r="A94">
        <v>27395</v>
      </c>
      <c r="B94">
        <v>3752.942</v>
      </c>
      <c r="C94">
        <v>5957.0349999999999</v>
      </c>
      <c r="D94">
        <v>27.13</v>
      </c>
      <c r="E94">
        <v>5.75</v>
      </c>
      <c r="F94">
        <v>151987</v>
      </c>
    </row>
    <row r="95" spans="1:6" x14ac:dyDescent="0.5">
      <c r="A95">
        <v>27485</v>
      </c>
      <c r="B95">
        <v>3814.672</v>
      </c>
      <c r="C95">
        <v>5999.61</v>
      </c>
      <c r="D95">
        <v>27.533000000000001</v>
      </c>
      <c r="E95">
        <v>5.39</v>
      </c>
      <c r="F95">
        <v>152708</v>
      </c>
    </row>
    <row r="96" spans="1:6" x14ac:dyDescent="0.5">
      <c r="A96">
        <v>27576</v>
      </c>
      <c r="B96">
        <v>3868.8890000000001</v>
      </c>
      <c r="C96">
        <v>6102.326</v>
      </c>
      <c r="D96">
        <v>28.018999999999998</v>
      </c>
      <c r="E96">
        <v>6.33</v>
      </c>
      <c r="F96">
        <v>153579</v>
      </c>
    </row>
    <row r="97" spans="1:6" x14ac:dyDescent="0.5">
      <c r="A97">
        <v>27668</v>
      </c>
      <c r="B97">
        <v>3910.4920000000002</v>
      </c>
      <c r="C97">
        <v>6184.53</v>
      </c>
      <c r="D97">
        <v>28.488</v>
      </c>
      <c r="E97">
        <v>5.63</v>
      </c>
      <c r="F97">
        <v>154336</v>
      </c>
    </row>
    <row r="98" spans="1:6" x14ac:dyDescent="0.5">
      <c r="A98">
        <v>27760</v>
      </c>
      <c r="B98">
        <v>3988.6770000000001</v>
      </c>
      <c r="C98">
        <v>6323.6490000000003</v>
      </c>
      <c r="D98">
        <v>28.789000000000001</v>
      </c>
      <c r="E98">
        <v>4.92</v>
      </c>
      <c r="F98">
        <v>155075</v>
      </c>
    </row>
    <row r="99" spans="1:6" x14ac:dyDescent="0.5">
      <c r="A99">
        <v>27851</v>
      </c>
      <c r="B99">
        <v>4025.375</v>
      </c>
      <c r="C99">
        <v>6370.0249999999996</v>
      </c>
      <c r="D99">
        <v>29.079000000000001</v>
      </c>
      <c r="E99">
        <v>5.16</v>
      </c>
      <c r="F99">
        <v>155774</v>
      </c>
    </row>
    <row r="100" spans="1:6" x14ac:dyDescent="0.5">
      <c r="A100">
        <v>27942</v>
      </c>
      <c r="B100">
        <v>4067.7570000000001</v>
      </c>
      <c r="C100">
        <v>6404.8950000000004</v>
      </c>
      <c r="D100">
        <v>29.454999999999998</v>
      </c>
      <c r="E100">
        <v>5.15</v>
      </c>
      <c r="F100">
        <v>156527</v>
      </c>
    </row>
    <row r="101" spans="1:6" x14ac:dyDescent="0.5">
      <c r="A101">
        <v>28034</v>
      </c>
      <c r="B101">
        <v>4120.5360000000001</v>
      </c>
      <c r="C101">
        <v>6451.1769999999997</v>
      </c>
      <c r="D101">
        <v>29.983000000000001</v>
      </c>
      <c r="E101">
        <v>4.67</v>
      </c>
      <c r="F101">
        <v>157222</v>
      </c>
    </row>
    <row r="102" spans="1:6" x14ac:dyDescent="0.5">
      <c r="A102">
        <v>28126</v>
      </c>
      <c r="B102">
        <v>4169.1040000000003</v>
      </c>
      <c r="C102">
        <v>6527.7030000000004</v>
      </c>
      <c r="D102">
        <v>30.465</v>
      </c>
      <c r="E102">
        <v>4.63</v>
      </c>
      <c r="F102">
        <v>157911</v>
      </c>
    </row>
    <row r="103" spans="1:6" x14ac:dyDescent="0.5">
      <c r="A103">
        <v>28216</v>
      </c>
      <c r="B103">
        <v>4191.7110000000002</v>
      </c>
      <c r="C103">
        <v>6654.4660000000003</v>
      </c>
      <c r="D103">
        <v>30.895</v>
      </c>
      <c r="E103">
        <v>4.84</v>
      </c>
      <c r="F103">
        <v>158652</v>
      </c>
    </row>
    <row r="104" spans="1:6" x14ac:dyDescent="0.5">
      <c r="A104">
        <v>28307</v>
      </c>
      <c r="B104">
        <v>4231.3450000000003</v>
      </c>
      <c r="C104">
        <v>6774.4570000000003</v>
      </c>
      <c r="D104">
        <v>31.271000000000001</v>
      </c>
      <c r="E104">
        <v>5.5</v>
      </c>
      <c r="F104">
        <v>159430</v>
      </c>
    </row>
    <row r="105" spans="1:6" x14ac:dyDescent="0.5">
      <c r="A105">
        <v>28399</v>
      </c>
      <c r="B105">
        <v>4294.9650000000001</v>
      </c>
      <c r="C105">
        <v>6774.5919999999996</v>
      </c>
      <c r="D105">
        <v>31.946999999999999</v>
      </c>
      <c r="E105">
        <v>6.11</v>
      </c>
      <c r="F105">
        <v>160140</v>
      </c>
    </row>
    <row r="106" spans="1:6" x14ac:dyDescent="0.5">
      <c r="A106">
        <v>28491</v>
      </c>
      <c r="B106">
        <v>4319.0940000000001</v>
      </c>
      <c r="C106">
        <v>6796.26</v>
      </c>
      <c r="D106">
        <v>32.411000000000001</v>
      </c>
      <c r="E106">
        <v>6.39</v>
      </c>
      <c r="F106">
        <v>160829</v>
      </c>
    </row>
    <row r="107" spans="1:6" x14ac:dyDescent="0.5">
      <c r="A107">
        <v>28581</v>
      </c>
      <c r="B107">
        <v>4411.4309999999996</v>
      </c>
      <c r="C107">
        <v>7058.92</v>
      </c>
      <c r="D107">
        <v>33.030999999999999</v>
      </c>
      <c r="E107">
        <v>6.48</v>
      </c>
      <c r="F107">
        <v>161525</v>
      </c>
    </row>
    <row r="108" spans="1:6" x14ac:dyDescent="0.5">
      <c r="A108">
        <v>28672</v>
      </c>
      <c r="B108">
        <v>4429.9549999999999</v>
      </c>
      <c r="C108">
        <v>7129.915</v>
      </c>
      <c r="D108">
        <v>33.591999999999999</v>
      </c>
      <c r="E108">
        <v>7.31</v>
      </c>
      <c r="F108">
        <v>162265</v>
      </c>
    </row>
    <row r="109" spans="1:6" x14ac:dyDescent="0.5">
      <c r="A109">
        <v>28764</v>
      </c>
      <c r="B109">
        <v>4465.7020000000002</v>
      </c>
      <c r="C109">
        <v>7225.75</v>
      </c>
      <c r="D109">
        <v>34.279000000000003</v>
      </c>
      <c r="E109">
        <v>8.57</v>
      </c>
      <c r="F109">
        <v>163024</v>
      </c>
    </row>
    <row r="110" spans="1:6" x14ac:dyDescent="0.5">
      <c r="A110">
        <v>28856</v>
      </c>
      <c r="B110">
        <v>4488.83</v>
      </c>
      <c r="C110">
        <v>7238.7269999999999</v>
      </c>
      <c r="D110">
        <v>34.904000000000003</v>
      </c>
      <c r="E110">
        <v>9.3800000000000008</v>
      </c>
      <c r="F110">
        <v>163756</v>
      </c>
    </row>
    <row r="111" spans="1:6" x14ac:dyDescent="0.5">
      <c r="A111">
        <v>28946</v>
      </c>
      <c r="B111">
        <v>4485.9160000000002</v>
      </c>
      <c r="C111">
        <v>7246.4539999999997</v>
      </c>
      <c r="D111">
        <v>35.759</v>
      </c>
      <c r="E111">
        <v>9.3800000000000008</v>
      </c>
      <c r="F111">
        <v>164447</v>
      </c>
    </row>
    <row r="112" spans="1:6" x14ac:dyDescent="0.5">
      <c r="A112">
        <v>29037</v>
      </c>
      <c r="B112">
        <v>4529.5680000000002</v>
      </c>
      <c r="C112">
        <v>7300.2809999999999</v>
      </c>
      <c r="D112">
        <v>36.540999999999997</v>
      </c>
      <c r="E112">
        <v>9.67</v>
      </c>
      <c r="F112">
        <v>165200</v>
      </c>
    </row>
    <row r="113" spans="1:6" x14ac:dyDescent="0.5">
      <c r="A113">
        <v>29129</v>
      </c>
      <c r="B113">
        <v>4540.8389999999999</v>
      </c>
      <c r="C113">
        <v>7318.5349999999999</v>
      </c>
      <c r="D113">
        <v>37.219000000000001</v>
      </c>
      <c r="E113">
        <v>11.84</v>
      </c>
      <c r="F113">
        <v>166055</v>
      </c>
    </row>
    <row r="114" spans="1:6" x14ac:dyDescent="0.5">
      <c r="A114">
        <v>29221</v>
      </c>
      <c r="B114">
        <v>4534.348</v>
      </c>
      <c r="C114">
        <v>7341.5569999999998</v>
      </c>
      <c r="D114">
        <v>38.000999999999998</v>
      </c>
      <c r="E114">
        <v>13.35</v>
      </c>
      <c r="F114">
        <v>166762</v>
      </c>
    </row>
    <row r="115" spans="1:6" x14ac:dyDescent="0.5">
      <c r="A115">
        <v>29312</v>
      </c>
      <c r="B115">
        <v>4432.2309999999998</v>
      </c>
      <c r="C115">
        <v>7190.2889999999998</v>
      </c>
      <c r="D115">
        <v>38.905000000000001</v>
      </c>
      <c r="E115">
        <v>9.6199999999999992</v>
      </c>
      <c r="F115">
        <v>167416</v>
      </c>
    </row>
    <row r="116" spans="1:6" x14ac:dyDescent="0.5">
      <c r="A116">
        <v>29403</v>
      </c>
      <c r="B116">
        <v>4480.8490000000002</v>
      </c>
      <c r="C116">
        <v>7181.7430000000004</v>
      </c>
      <c r="D116">
        <v>39.774000000000001</v>
      </c>
      <c r="E116">
        <v>9.15</v>
      </c>
      <c r="F116">
        <v>168111</v>
      </c>
    </row>
    <row r="117" spans="1:6" x14ac:dyDescent="0.5">
      <c r="A117">
        <v>29495</v>
      </c>
      <c r="B117">
        <v>4541.3900000000003</v>
      </c>
      <c r="C117">
        <v>7315.6769999999997</v>
      </c>
      <c r="D117">
        <v>40.81</v>
      </c>
      <c r="E117">
        <v>13.61</v>
      </c>
      <c r="F117">
        <v>168694</v>
      </c>
    </row>
    <row r="118" spans="1:6" x14ac:dyDescent="0.5">
      <c r="A118">
        <v>29587</v>
      </c>
      <c r="B118">
        <v>4556.6030000000001</v>
      </c>
      <c r="C118">
        <v>7459.0219999999999</v>
      </c>
      <c r="D118">
        <v>41.884999999999998</v>
      </c>
      <c r="E118">
        <v>14.39</v>
      </c>
      <c r="F118">
        <v>169279</v>
      </c>
    </row>
    <row r="119" spans="1:6" x14ac:dyDescent="0.5">
      <c r="A119">
        <v>29677</v>
      </c>
      <c r="B119">
        <v>4556.9340000000002</v>
      </c>
      <c r="C119">
        <v>7403.7449999999999</v>
      </c>
      <c r="D119">
        <v>42.715000000000003</v>
      </c>
      <c r="E119">
        <v>14.91</v>
      </c>
      <c r="F119">
        <v>169837</v>
      </c>
    </row>
    <row r="120" spans="1:6" x14ac:dyDescent="0.5">
      <c r="A120">
        <v>29768</v>
      </c>
      <c r="B120">
        <v>4578.0129999999999</v>
      </c>
      <c r="C120">
        <v>7492.4049999999997</v>
      </c>
      <c r="D120">
        <v>43.518999999999998</v>
      </c>
      <c r="E120">
        <v>15.05</v>
      </c>
      <c r="F120">
        <v>170413</v>
      </c>
    </row>
    <row r="121" spans="1:6" x14ac:dyDescent="0.5">
      <c r="A121">
        <v>29860</v>
      </c>
      <c r="B121">
        <v>4546.6989999999996</v>
      </c>
      <c r="C121">
        <v>7410.768</v>
      </c>
      <c r="D121">
        <v>44.271000000000001</v>
      </c>
      <c r="E121">
        <v>11.75</v>
      </c>
      <c r="F121">
        <v>170990</v>
      </c>
    </row>
    <row r="122" spans="1:6" x14ac:dyDescent="0.5">
      <c r="A122">
        <v>29952</v>
      </c>
      <c r="B122">
        <v>4580.1899999999996</v>
      </c>
      <c r="C122">
        <v>7295.6310000000003</v>
      </c>
      <c r="D122">
        <v>44.88</v>
      </c>
      <c r="E122">
        <v>12.81</v>
      </c>
      <c r="F122">
        <v>171497</v>
      </c>
    </row>
    <row r="123" spans="1:6" x14ac:dyDescent="0.5">
      <c r="A123">
        <v>30042</v>
      </c>
      <c r="B123">
        <v>4594.1419999999998</v>
      </c>
      <c r="C123">
        <v>7328.9120000000003</v>
      </c>
      <c r="D123">
        <v>45.463000000000001</v>
      </c>
      <c r="E123">
        <v>12.42</v>
      </c>
      <c r="F123">
        <v>172020</v>
      </c>
    </row>
    <row r="124" spans="1:6" x14ac:dyDescent="0.5">
      <c r="A124">
        <v>30133</v>
      </c>
      <c r="B124">
        <v>4624.9390000000003</v>
      </c>
      <c r="C124">
        <v>7300.8959999999997</v>
      </c>
      <c r="D124">
        <v>46.107999999999997</v>
      </c>
      <c r="E124">
        <v>9.32</v>
      </c>
      <c r="F124">
        <v>172522</v>
      </c>
    </row>
    <row r="125" spans="1:6" x14ac:dyDescent="0.5">
      <c r="A125">
        <v>30225</v>
      </c>
      <c r="B125">
        <v>4705.9530000000004</v>
      </c>
      <c r="C125">
        <v>7303.817</v>
      </c>
      <c r="D125">
        <v>46.585999999999999</v>
      </c>
      <c r="E125">
        <v>7.91</v>
      </c>
      <c r="F125">
        <v>173046</v>
      </c>
    </row>
    <row r="126" spans="1:6" x14ac:dyDescent="0.5">
      <c r="A126">
        <v>30317</v>
      </c>
      <c r="B126">
        <v>4752.4809999999998</v>
      </c>
      <c r="C126">
        <v>7400.0659999999998</v>
      </c>
      <c r="D126">
        <v>46.938000000000002</v>
      </c>
      <c r="E126">
        <v>8.11</v>
      </c>
      <c r="F126">
        <v>173505</v>
      </c>
    </row>
    <row r="127" spans="1:6" x14ac:dyDescent="0.5">
      <c r="A127">
        <v>30407</v>
      </c>
      <c r="B127">
        <v>4849.2539999999999</v>
      </c>
      <c r="C127">
        <v>7568.4560000000001</v>
      </c>
      <c r="D127">
        <v>47.286000000000001</v>
      </c>
      <c r="E127">
        <v>8.4</v>
      </c>
      <c r="F127">
        <v>173957</v>
      </c>
    </row>
    <row r="128" spans="1:6" x14ac:dyDescent="0.5">
      <c r="A128">
        <v>30498</v>
      </c>
      <c r="B128">
        <v>4936.2110000000002</v>
      </c>
      <c r="C128">
        <v>7719.7460000000001</v>
      </c>
      <c r="D128">
        <v>47.789000000000001</v>
      </c>
      <c r="E128">
        <v>9.14</v>
      </c>
      <c r="F128">
        <v>174449</v>
      </c>
    </row>
    <row r="129" spans="1:6" x14ac:dyDescent="0.5">
      <c r="A129">
        <v>30590</v>
      </c>
      <c r="B129">
        <v>5014.8739999999998</v>
      </c>
      <c r="C129">
        <v>7880.7939999999999</v>
      </c>
      <c r="D129">
        <v>48.151000000000003</v>
      </c>
      <c r="E129">
        <v>8.8000000000000007</v>
      </c>
      <c r="F129">
        <v>174950</v>
      </c>
    </row>
    <row r="130" spans="1:6" x14ac:dyDescent="0.5">
      <c r="A130">
        <v>30682</v>
      </c>
      <c r="B130">
        <v>5056.4920000000002</v>
      </c>
      <c r="C130">
        <v>8034.8469999999998</v>
      </c>
      <c r="D130">
        <v>48.639000000000003</v>
      </c>
      <c r="E130">
        <v>9.17</v>
      </c>
      <c r="F130">
        <v>175679</v>
      </c>
    </row>
    <row r="131" spans="1:6" x14ac:dyDescent="0.5">
      <c r="A131">
        <v>30773</v>
      </c>
      <c r="B131">
        <v>5127.3320000000003</v>
      </c>
      <c r="C131">
        <v>8173.67</v>
      </c>
      <c r="D131">
        <v>49.055</v>
      </c>
      <c r="E131">
        <v>9.8000000000000007</v>
      </c>
      <c r="F131">
        <v>176125</v>
      </c>
    </row>
    <row r="132" spans="1:6" x14ac:dyDescent="0.5">
      <c r="A132">
        <v>30864</v>
      </c>
      <c r="B132">
        <v>5165.357</v>
      </c>
      <c r="C132">
        <v>8252.4650000000001</v>
      </c>
      <c r="D132">
        <v>49.491</v>
      </c>
      <c r="E132">
        <v>10.32</v>
      </c>
      <c r="F132">
        <v>176595</v>
      </c>
    </row>
    <row r="133" spans="1:6" x14ac:dyDescent="0.5">
      <c r="A133">
        <v>30956</v>
      </c>
      <c r="B133">
        <v>5232.2659999999996</v>
      </c>
      <c r="C133">
        <v>8320.1990000000005</v>
      </c>
      <c r="D133">
        <v>49.860999999999997</v>
      </c>
      <c r="E133">
        <v>8.8000000000000007</v>
      </c>
      <c r="F133">
        <v>177132</v>
      </c>
    </row>
    <row r="134" spans="1:6" x14ac:dyDescent="0.5">
      <c r="A134">
        <v>31048</v>
      </c>
      <c r="B134">
        <v>5321.1589999999997</v>
      </c>
      <c r="C134">
        <v>8400.82</v>
      </c>
      <c r="D134">
        <v>50.353999999999999</v>
      </c>
      <c r="E134">
        <v>8.18</v>
      </c>
      <c r="F134">
        <v>177522</v>
      </c>
    </row>
    <row r="135" spans="1:6" x14ac:dyDescent="0.5">
      <c r="A135">
        <v>31138</v>
      </c>
      <c r="B135">
        <v>5370.0110000000004</v>
      </c>
      <c r="C135">
        <v>8474.7870000000003</v>
      </c>
      <c r="D135">
        <v>50.677999999999997</v>
      </c>
      <c r="E135">
        <v>7.46</v>
      </c>
      <c r="F135">
        <v>177946</v>
      </c>
    </row>
    <row r="136" spans="1:6" x14ac:dyDescent="0.5">
      <c r="A136">
        <v>31229</v>
      </c>
      <c r="B136">
        <v>5472.0140000000001</v>
      </c>
      <c r="C136">
        <v>8604.2199999999993</v>
      </c>
      <c r="D136">
        <v>50.984000000000002</v>
      </c>
      <c r="E136">
        <v>7.11</v>
      </c>
      <c r="F136">
        <v>178413</v>
      </c>
    </row>
    <row r="137" spans="1:6" x14ac:dyDescent="0.5">
      <c r="A137">
        <v>31321</v>
      </c>
      <c r="B137">
        <v>5483.866</v>
      </c>
      <c r="C137">
        <v>8668.1880000000001</v>
      </c>
      <c r="D137">
        <v>51.268999999999998</v>
      </c>
      <c r="E137">
        <v>7.17</v>
      </c>
      <c r="F137">
        <v>178941</v>
      </c>
    </row>
    <row r="138" spans="1:6" x14ac:dyDescent="0.5">
      <c r="A138">
        <v>31413</v>
      </c>
      <c r="B138">
        <v>5531.8069999999998</v>
      </c>
      <c r="C138">
        <v>8749.1270000000004</v>
      </c>
      <c r="D138">
        <v>51.524000000000001</v>
      </c>
      <c r="E138">
        <v>6.9</v>
      </c>
      <c r="F138">
        <v>179825</v>
      </c>
    </row>
    <row r="139" spans="1:6" x14ac:dyDescent="0.5">
      <c r="A139">
        <v>31503</v>
      </c>
      <c r="B139">
        <v>5592.08</v>
      </c>
      <c r="C139">
        <v>8788.5239999999994</v>
      </c>
      <c r="D139">
        <v>51.719000000000001</v>
      </c>
      <c r="E139">
        <v>6.14</v>
      </c>
      <c r="F139">
        <v>180321</v>
      </c>
    </row>
    <row r="140" spans="1:6" x14ac:dyDescent="0.5">
      <c r="A140">
        <v>31594</v>
      </c>
      <c r="B140">
        <v>5690.9709999999995</v>
      </c>
      <c r="C140">
        <v>8872.6010000000006</v>
      </c>
      <c r="D140">
        <v>51.930999999999997</v>
      </c>
      <c r="E140">
        <v>5.52</v>
      </c>
      <c r="F140">
        <v>180836</v>
      </c>
    </row>
    <row r="141" spans="1:6" x14ac:dyDescent="0.5">
      <c r="A141">
        <v>31686</v>
      </c>
      <c r="B141">
        <v>5725.8119999999999</v>
      </c>
      <c r="C141">
        <v>8920.1929999999993</v>
      </c>
      <c r="D141">
        <v>52.213999999999999</v>
      </c>
      <c r="E141">
        <v>5.35</v>
      </c>
      <c r="F141">
        <v>181365</v>
      </c>
    </row>
    <row r="142" spans="1:6" x14ac:dyDescent="0.5">
      <c r="A142">
        <v>31778</v>
      </c>
      <c r="B142">
        <v>5731.2259999999997</v>
      </c>
      <c r="C142">
        <v>8986.3670000000002</v>
      </c>
      <c r="D142">
        <v>52.548000000000002</v>
      </c>
      <c r="E142">
        <v>5.54</v>
      </c>
      <c r="F142">
        <v>182001</v>
      </c>
    </row>
    <row r="143" spans="1:6" x14ac:dyDescent="0.5">
      <c r="A143">
        <v>31868</v>
      </c>
      <c r="B143">
        <v>5809.3760000000002</v>
      </c>
      <c r="C143">
        <v>9083.2559999999994</v>
      </c>
      <c r="D143">
        <v>52.911999999999999</v>
      </c>
      <c r="E143">
        <v>5.66</v>
      </c>
      <c r="F143">
        <v>182527</v>
      </c>
    </row>
    <row r="144" spans="1:6" x14ac:dyDescent="0.5">
      <c r="A144">
        <v>31959</v>
      </c>
      <c r="B144">
        <v>5875.6409999999996</v>
      </c>
      <c r="C144">
        <v>9162.0239999999994</v>
      </c>
      <c r="D144">
        <v>53.313000000000002</v>
      </c>
      <c r="E144">
        <v>6.04</v>
      </c>
      <c r="F144">
        <v>183016</v>
      </c>
    </row>
    <row r="145" spans="1:6" x14ac:dyDescent="0.5">
      <c r="A145">
        <v>32051</v>
      </c>
      <c r="B145">
        <v>5888.0649999999996</v>
      </c>
      <c r="C145">
        <v>9319.3320000000003</v>
      </c>
      <c r="D145">
        <v>53.738</v>
      </c>
      <c r="E145">
        <v>5.86</v>
      </c>
      <c r="F145">
        <v>183467</v>
      </c>
    </row>
    <row r="146" spans="1:6" x14ac:dyDescent="0.5">
      <c r="A146">
        <v>32143</v>
      </c>
      <c r="B146">
        <v>5992.1009999999997</v>
      </c>
      <c r="C146">
        <v>9367.5020000000004</v>
      </c>
      <c r="D146">
        <v>54.158999999999999</v>
      </c>
      <c r="E146">
        <v>5.72</v>
      </c>
      <c r="F146">
        <v>183967</v>
      </c>
    </row>
    <row r="147" spans="1:6" x14ac:dyDescent="0.5">
      <c r="A147">
        <v>32234</v>
      </c>
      <c r="B147">
        <v>6036.3549999999996</v>
      </c>
      <c r="C147">
        <v>9490.5939999999991</v>
      </c>
      <c r="D147">
        <v>54.686</v>
      </c>
      <c r="E147">
        <v>6.21</v>
      </c>
      <c r="F147">
        <v>184389</v>
      </c>
    </row>
    <row r="148" spans="1:6" x14ac:dyDescent="0.5">
      <c r="A148">
        <v>32325</v>
      </c>
      <c r="B148">
        <v>6090.0010000000002</v>
      </c>
      <c r="C148">
        <v>9546.2060000000001</v>
      </c>
      <c r="D148">
        <v>55.34</v>
      </c>
      <c r="E148">
        <v>7.01</v>
      </c>
      <c r="F148">
        <v>184840</v>
      </c>
    </row>
    <row r="149" spans="1:6" x14ac:dyDescent="0.5">
      <c r="A149">
        <v>32417</v>
      </c>
      <c r="B149">
        <v>6159.2460000000001</v>
      </c>
      <c r="C149">
        <v>9673.4050000000007</v>
      </c>
      <c r="D149">
        <v>55.817999999999998</v>
      </c>
      <c r="E149">
        <v>7.73</v>
      </c>
      <c r="F149">
        <v>185253</v>
      </c>
    </row>
    <row r="150" spans="1:6" x14ac:dyDescent="0.5">
      <c r="A150">
        <v>32509</v>
      </c>
      <c r="B150">
        <v>6187.8159999999998</v>
      </c>
      <c r="C150">
        <v>9771.7250000000004</v>
      </c>
      <c r="D150">
        <v>56.4</v>
      </c>
      <c r="E150">
        <v>8.5399999999999991</v>
      </c>
      <c r="F150">
        <v>185773</v>
      </c>
    </row>
    <row r="151" spans="1:6" x14ac:dyDescent="0.5">
      <c r="A151">
        <v>32599</v>
      </c>
      <c r="B151">
        <v>6216.6949999999997</v>
      </c>
      <c r="C151">
        <v>9846.2929999999997</v>
      </c>
      <c r="D151">
        <v>57.000999999999998</v>
      </c>
      <c r="E151">
        <v>8.41</v>
      </c>
      <c r="F151">
        <v>186178</v>
      </c>
    </row>
    <row r="152" spans="1:6" x14ac:dyDescent="0.5">
      <c r="A152">
        <v>32690</v>
      </c>
      <c r="B152">
        <v>6276.8770000000004</v>
      </c>
      <c r="C152">
        <v>9919.2279999999992</v>
      </c>
      <c r="D152">
        <v>57.417000000000002</v>
      </c>
      <c r="E152">
        <v>7.84</v>
      </c>
      <c r="F152">
        <v>186602</v>
      </c>
    </row>
    <row r="153" spans="1:6" x14ac:dyDescent="0.5">
      <c r="A153">
        <v>32782</v>
      </c>
      <c r="B153">
        <v>6304.1570000000002</v>
      </c>
      <c r="C153">
        <v>9938.7669999999998</v>
      </c>
      <c r="D153">
        <v>57.826000000000001</v>
      </c>
      <c r="E153">
        <v>7.65</v>
      </c>
      <c r="F153">
        <v>187018</v>
      </c>
    </row>
    <row r="154" spans="1:6" x14ac:dyDescent="0.5">
      <c r="A154">
        <v>32874</v>
      </c>
      <c r="B154">
        <v>6357.2129999999997</v>
      </c>
      <c r="C154">
        <v>10047.386</v>
      </c>
      <c r="D154">
        <v>58.45</v>
      </c>
      <c r="E154">
        <v>7.76</v>
      </c>
      <c r="F154">
        <v>188520</v>
      </c>
    </row>
    <row r="155" spans="1:6" x14ac:dyDescent="0.5">
      <c r="A155">
        <v>32964</v>
      </c>
      <c r="B155">
        <v>6376.5789999999997</v>
      </c>
      <c r="C155">
        <v>10083.855</v>
      </c>
      <c r="D155">
        <v>59.104999999999997</v>
      </c>
      <c r="E155">
        <v>7.75</v>
      </c>
      <c r="F155">
        <v>188916</v>
      </c>
    </row>
    <row r="156" spans="1:6" x14ac:dyDescent="0.5">
      <c r="A156">
        <v>33055</v>
      </c>
      <c r="B156">
        <v>6401.8410000000003</v>
      </c>
      <c r="C156">
        <v>10090.569</v>
      </c>
      <c r="D156">
        <v>59.610999999999997</v>
      </c>
      <c r="E156">
        <v>7.48</v>
      </c>
      <c r="F156">
        <v>189353</v>
      </c>
    </row>
    <row r="157" spans="1:6" x14ac:dyDescent="0.5">
      <c r="A157">
        <v>33147</v>
      </c>
      <c r="B157">
        <v>6353.1390000000001</v>
      </c>
      <c r="C157">
        <v>9998.7039999999997</v>
      </c>
      <c r="D157">
        <v>60.055</v>
      </c>
      <c r="E157">
        <v>6.99</v>
      </c>
      <c r="F157">
        <v>189866</v>
      </c>
    </row>
    <row r="158" spans="1:6" x14ac:dyDescent="0.5">
      <c r="A158">
        <v>33239</v>
      </c>
      <c r="B158">
        <v>6329.2489999999998</v>
      </c>
      <c r="C158">
        <v>9951.9159999999993</v>
      </c>
      <c r="D158">
        <v>60.643000000000001</v>
      </c>
      <c r="E158">
        <v>6.02</v>
      </c>
      <c r="F158">
        <v>190272</v>
      </c>
    </row>
    <row r="159" spans="1:6" x14ac:dyDescent="0.5">
      <c r="A159">
        <v>33329</v>
      </c>
      <c r="B159">
        <v>6381.7030000000004</v>
      </c>
      <c r="C159">
        <v>10029.51</v>
      </c>
      <c r="D159">
        <v>61.088000000000001</v>
      </c>
      <c r="E159">
        <v>5.56</v>
      </c>
      <c r="F159">
        <v>190656</v>
      </c>
    </row>
    <row r="160" spans="1:6" x14ac:dyDescent="0.5">
      <c r="A160">
        <v>33420</v>
      </c>
      <c r="B160">
        <v>6413.5209999999997</v>
      </c>
      <c r="C160">
        <v>10080.195</v>
      </c>
      <c r="D160">
        <v>61.566000000000003</v>
      </c>
      <c r="E160">
        <v>5.38</v>
      </c>
      <c r="F160">
        <v>191121</v>
      </c>
    </row>
    <row r="161" spans="1:6" x14ac:dyDescent="0.5">
      <c r="A161">
        <v>33512</v>
      </c>
      <c r="B161">
        <v>6410.3119999999999</v>
      </c>
      <c r="C161">
        <v>10115.329</v>
      </c>
      <c r="D161">
        <v>61.930999999999997</v>
      </c>
      <c r="E161">
        <v>4.54</v>
      </c>
      <c r="F161">
        <v>191651</v>
      </c>
    </row>
    <row r="162" spans="1:6" x14ac:dyDescent="0.5">
      <c r="A162">
        <v>33604</v>
      </c>
      <c r="B162">
        <v>6530.335</v>
      </c>
      <c r="C162">
        <v>10236.434999999999</v>
      </c>
      <c r="D162">
        <v>62.161000000000001</v>
      </c>
      <c r="E162">
        <v>3.89</v>
      </c>
      <c r="F162">
        <v>192075</v>
      </c>
    </row>
    <row r="163" spans="1:6" x14ac:dyDescent="0.5">
      <c r="A163">
        <v>33695</v>
      </c>
      <c r="B163">
        <v>6574.665</v>
      </c>
      <c r="C163">
        <v>10347.429</v>
      </c>
      <c r="D163">
        <v>62.534999999999997</v>
      </c>
      <c r="E163">
        <v>3.68</v>
      </c>
      <c r="F163">
        <v>192507</v>
      </c>
    </row>
    <row r="164" spans="1:6" x14ac:dyDescent="0.5">
      <c r="A164">
        <v>33786</v>
      </c>
      <c r="B164">
        <v>6645.14</v>
      </c>
      <c r="C164">
        <v>10449.673000000001</v>
      </c>
      <c r="D164">
        <v>62.841000000000001</v>
      </c>
      <c r="E164">
        <v>3.08</v>
      </c>
      <c r="F164">
        <v>193024</v>
      </c>
    </row>
    <row r="165" spans="1:6" x14ac:dyDescent="0.5">
      <c r="A165">
        <v>33878</v>
      </c>
      <c r="B165">
        <v>6724.3419999999996</v>
      </c>
      <c r="C165">
        <v>10558.647999999999</v>
      </c>
      <c r="D165">
        <v>63.273000000000003</v>
      </c>
      <c r="E165">
        <v>3.07</v>
      </c>
      <c r="F165">
        <v>193616</v>
      </c>
    </row>
    <row r="166" spans="1:6" x14ac:dyDescent="0.5">
      <c r="A166">
        <v>33970</v>
      </c>
      <c r="B166">
        <v>6750.1229999999996</v>
      </c>
      <c r="C166">
        <v>10576.275</v>
      </c>
      <c r="D166">
        <v>63.628</v>
      </c>
      <c r="E166">
        <v>2.96</v>
      </c>
      <c r="F166">
        <v>194106</v>
      </c>
    </row>
    <row r="167" spans="1:6" x14ac:dyDescent="0.5">
      <c r="A167">
        <v>34060</v>
      </c>
      <c r="B167">
        <v>6811.5219999999999</v>
      </c>
      <c r="C167">
        <v>10637.847</v>
      </c>
      <c r="D167">
        <v>64.007000000000005</v>
      </c>
      <c r="E167">
        <v>2.97</v>
      </c>
      <c r="F167">
        <v>194555</v>
      </c>
    </row>
    <row r="168" spans="1:6" x14ac:dyDescent="0.5">
      <c r="A168">
        <v>34151</v>
      </c>
      <c r="B168">
        <v>6887.3289999999997</v>
      </c>
      <c r="C168">
        <v>10688.606</v>
      </c>
      <c r="D168">
        <v>64.387</v>
      </c>
      <c r="E168">
        <v>3</v>
      </c>
      <c r="F168">
        <v>195068</v>
      </c>
    </row>
    <row r="169" spans="1:6" x14ac:dyDescent="0.5">
      <c r="A169">
        <v>34243</v>
      </c>
      <c r="B169">
        <v>6947.7879999999996</v>
      </c>
      <c r="C169">
        <v>10833.986999999999</v>
      </c>
      <c r="D169">
        <v>64.738</v>
      </c>
      <c r="E169">
        <v>3.06</v>
      </c>
      <c r="F169">
        <v>195621</v>
      </c>
    </row>
    <row r="170" spans="1:6" x14ac:dyDescent="0.5">
      <c r="A170">
        <v>34335</v>
      </c>
      <c r="B170">
        <v>7027.2550000000001</v>
      </c>
      <c r="C170">
        <v>10939.116</v>
      </c>
      <c r="D170">
        <v>65.048000000000002</v>
      </c>
      <c r="E170">
        <v>3.24</v>
      </c>
      <c r="F170">
        <v>196085</v>
      </c>
    </row>
    <row r="171" spans="1:6" x14ac:dyDescent="0.5">
      <c r="A171">
        <v>34425</v>
      </c>
      <c r="B171">
        <v>7081.9309999999996</v>
      </c>
      <c r="C171">
        <v>11087.361000000001</v>
      </c>
      <c r="D171">
        <v>65.361999999999995</v>
      </c>
      <c r="E171">
        <v>3.99</v>
      </c>
      <c r="F171">
        <v>196522</v>
      </c>
    </row>
    <row r="172" spans="1:6" x14ac:dyDescent="0.5">
      <c r="A172">
        <v>34516</v>
      </c>
      <c r="B172">
        <v>7135.93</v>
      </c>
      <c r="C172">
        <v>11152.175999999999</v>
      </c>
      <c r="D172">
        <v>65.736999999999995</v>
      </c>
      <c r="E172">
        <v>4.4800000000000004</v>
      </c>
      <c r="F172">
        <v>197050</v>
      </c>
    </row>
    <row r="173" spans="1:6" x14ac:dyDescent="0.5">
      <c r="A173">
        <v>34608</v>
      </c>
      <c r="B173">
        <v>7213.0789999999997</v>
      </c>
      <c r="C173">
        <v>11279.932000000001</v>
      </c>
      <c r="D173">
        <v>66.093000000000004</v>
      </c>
      <c r="E173">
        <v>5.28</v>
      </c>
      <c r="F173">
        <v>197601</v>
      </c>
    </row>
    <row r="174" spans="1:6" x14ac:dyDescent="0.5">
      <c r="A174">
        <v>34700</v>
      </c>
      <c r="B174">
        <v>7231.0320000000002</v>
      </c>
      <c r="C174">
        <v>11319.950999999999</v>
      </c>
      <c r="D174">
        <v>66.451999999999998</v>
      </c>
      <c r="E174">
        <v>5.74</v>
      </c>
      <c r="F174">
        <v>197882</v>
      </c>
    </row>
    <row r="175" spans="1:6" x14ac:dyDescent="0.5">
      <c r="A175">
        <v>34790</v>
      </c>
      <c r="B175">
        <v>7294.424</v>
      </c>
      <c r="C175">
        <v>11353.721</v>
      </c>
      <c r="D175">
        <v>66.771000000000001</v>
      </c>
      <c r="E175">
        <v>5.6</v>
      </c>
      <c r="F175">
        <v>198296</v>
      </c>
    </row>
    <row r="176" spans="1:6" x14ac:dyDescent="0.5">
      <c r="A176">
        <v>34881</v>
      </c>
      <c r="B176">
        <v>7360.5290000000005</v>
      </c>
      <c r="C176">
        <v>11450.31</v>
      </c>
      <c r="D176">
        <v>67.099999999999994</v>
      </c>
      <c r="E176">
        <v>5.37</v>
      </c>
      <c r="F176">
        <v>198807</v>
      </c>
    </row>
    <row r="177" spans="1:6" x14ac:dyDescent="0.5">
      <c r="A177">
        <v>34973</v>
      </c>
      <c r="B177">
        <v>7411.8729999999996</v>
      </c>
      <c r="C177">
        <v>11528.066999999999</v>
      </c>
      <c r="D177">
        <v>67.423000000000002</v>
      </c>
      <c r="E177">
        <v>5.26</v>
      </c>
      <c r="F177">
        <v>199352</v>
      </c>
    </row>
    <row r="178" spans="1:6" x14ac:dyDescent="0.5">
      <c r="A178">
        <v>35065</v>
      </c>
      <c r="B178">
        <v>7480.2309999999998</v>
      </c>
      <c r="C178">
        <v>11614.418</v>
      </c>
      <c r="D178">
        <v>67.747</v>
      </c>
      <c r="E178">
        <v>4.93</v>
      </c>
      <c r="F178">
        <v>199776</v>
      </c>
    </row>
    <row r="179" spans="1:6" x14ac:dyDescent="0.5">
      <c r="A179">
        <v>35156</v>
      </c>
      <c r="B179">
        <v>7560.7020000000002</v>
      </c>
      <c r="C179">
        <v>11808.14</v>
      </c>
      <c r="D179">
        <v>68.028000000000006</v>
      </c>
      <c r="E179">
        <v>5.0199999999999996</v>
      </c>
      <c r="F179">
        <v>200279</v>
      </c>
    </row>
    <row r="180" spans="1:6" x14ac:dyDescent="0.5">
      <c r="A180">
        <v>35247</v>
      </c>
      <c r="B180">
        <v>7606.4750000000004</v>
      </c>
      <c r="C180">
        <v>11914.063</v>
      </c>
      <c r="D180">
        <v>68.251000000000005</v>
      </c>
      <c r="E180">
        <v>5.0999999999999996</v>
      </c>
      <c r="F180">
        <v>200850</v>
      </c>
    </row>
    <row r="181" spans="1:6" x14ac:dyDescent="0.5">
      <c r="A181">
        <v>35339</v>
      </c>
      <c r="B181">
        <v>7667.0619999999999</v>
      </c>
      <c r="C181">
        <v>12037.775</v>
      </c>
      <c r="D181">
        <v>68.614999999999995</v>
      </c>
      <c r="E181">
        <v>4.9800000000000004</v>
      </c>
      <c r="F181">
        <v>201457</v>
      </c>
    </row>
    <row r="182" spans="1:6" x14ac:dyDescent="0.5">
      <c r="A182">
        <v>35431</v>
      </c>
      <c r="B182">
        <v>7747.88</v>
      </c>
      <c r="C182">
        <v>12115.472</v>
      </c>
      <c r="D182">
        <v>69.025000000000006</v>
      </c>
      <c r="E182">
        <v>5.0599999999999996</v>
      </c>
      <c r="F182">
        <v>202396</v>
      </c>
    </row>
    <row r="183" spans="1:6" x14ac:dyDescent="0.5">
      <c r="A183">
        <v>35521</v>
      </c>
      <c r="B183">
        <v>7782.76</v>
      </c>
      <c r="C183">
        <v>12317.221</v>
      </c>
      <c r="D183">
        <v>69.162000000000006</v>
      </c>
      <c r="E183">
        <v>5.05</v>
      </c>
      <c r="F183">
        <v>202835</v>
      </c>
    </row>
    <row r="184" spans="1:6" x14ac:dyDescent="0.5">
      <c r="A184">
        <v>35612</v>
      </c>
      <c r="B184">
        <v>7915.3590000000004</v>
      </c>
      <c r="C184">
        <v>12471.01</v>
      </c>
      <c r="D184">
        <v>69.463999999999999</v>
      </c>
      <c r="E184">
        <v>5.05</v>
      </c>
      <c r="F184">
        <v>203367</v>
      </c>
    </row>
    <row r="185" spans="1:6" x14ac:dyDescent="0.5">
      <c r="A185">
        <v>35704</v>
      </c>
      <c r="B185">
        <v>8009.9639999999999</v>
      </c>
      <c r="C185">
        <v>12577.495000000001</v>
      </c>
      <c r="D185">
        <v>69.694999999999993</v>
      </c>
      <c r="E185">
        <v>5.09</v>
      </c>
      <c r="F185">
        <v>203935</v>
      </c>
    </row>
    <row r="186" spans="1:6" x14ac:dyDescent="0.5">
      <c r="A186">
        <v>35796</v>
      </c>
      <c r="B186">
        <v>8090.9870000000001</v>
      </c>
      <c r="C186">
        <v>12703.742</v>
      </c>
      <c r="D186">
        <v>69.793999999999997</v>
      </c>
      <c r="E186">
        <v>5.05</v>
      </c>
      <c r="F186">
        <v>204395</v>
      </c>
    </row>
    <row r="187" spans="1:6" x14ac:dyDescent="0.5">
      <c r="A187">
        <v>35886</v>
      </c>
      <c r="B187">
        <v>8233.4629999999997</v>
      </c>
      <c r="C187">
        <v>12821.339</v>
      </c>
      <c r="D187">
        <v>69.959000000000003</v>
      </c>
      <c r="E187">
        <v>4.9800000000000004</v>
      </c>
      <c r="F187">
        <v>204905</v>
      </c>
    </row>
    <row r="188" spans="1:6" x14ac:dyDescent="0.5">
      <c r="A188">
        <v>35977</v>
      </c>
      <c r="B188">
        <v>8340.8310000000001</v>
      </c>
      <c r="C188">
        <v>12982.752</v>
      </c>
      <c r="D188">
        <v>70.254999999999995</v>
      </c>
      <c r="E188">
        <v>4.82</v>
      </c>
      <c r="F188">
        <v>205483</v>
      </c>
    </row>
    <row r="189" spans="1:6" x14ac:dyDescent="0.5">
      <c r="A189">
        <v>36069</v>
      </c>
      <c r="B189">
        <v>8461.33</v>
      </c>
      <c r="C189">
        <v>13191.67</v>
      </c>
      <c r="D189">
        <v>70.453000000000003</v>
      </c>
      <c r="E189">
        <v>4.25</v>
      </c>
      <c r="F189">
        <v>206098</v>
      </c>
    </row>
    <row r="190" spans="1:6" x14ac:dyDescent="0.5">
      <c r="A190">
        <v>36161</v>
      </c>
      <c r="B190">
        <v>8548.2350000000006</v>
      </c>
      <c r="C190">
        <v>13315.597</v>
      </c>
      <c r="D190">
        <v>70.682000000000002</v>
      </c>
      <c r="E190">
        <v>4.41</v>
      </c>
      <c r="F190">
        <v>206876</v>
      </c>
    </row>
    <row r="191" spans="1:6" x14ac:dyDescent="0.5">
      <c r="A191">
        <v>36251</v>
      </c>
      <c r="B191">
        <v>8679.143</v>
      </c>
      <c r="C191">
        <v>13426.748</v>
      </c>
      <c r="D191">
        <v>70.948999999999998</v>
      </c>
      <c r="E191">
        <v>4.45</v>
      </c>
      <c r="F191">
        <v>207432</v>
      </c>
    </row>
    <row r="192" spans="1:6" x14ac:dyDescent="0.5">
      <c r="A192">
        <v>36342</v>
      </c>
      <c r="B192">
        <v>8776.7150000000001</v>
      </c>
      <c r="C192">
        <v>13604.771000000001</v>
      </c>
      <c r="D192">
        <v>71.2</v>
      </c>
      <c r="E192">
        <v>4.6500000000000004</v>
      </c>
      <c r="F192">
        <v>208044</v>
      </c>
    </row>
    <row r="193" spans="1:6" x14ac:dyDescent="0.5">
      <c r="A193">
        <v>36434</v>
      </c>
      <c r="B193">
        <v>8905.0930000000008</v>
      </c>
      <c r="C193">
        <v>13827.98</v>
      </c>
      <c r="D193">
        <v>71.594999999999999</v>
      </c>
      <c r="E193">
        <v>5.04</v>
      </c>
      <c r="F193">
        <v>208660</v>
      </c>
    </row>
    <row r="194" spans="1:6" x14ac:dyDescent="0.5">
      <c r="A194">
        <v>36526</v>
      </c>
      <c r="B194">
        <v>9039.7430000000004</v>
      </c>
      <c r="C194">
        <v>13878.147000000001</v>
      </c>
      <c r="D194">
        <v>72.070999999999998</v>
      </c>
      <c r="E194">
        <v>5.52</v>
      </c>
      <c r="F194">
        <v>211586</v>
      </c>
    </row>
    <row r="195" spans="1:6" x14ac:dyDescent="0.5">
      <c r="A195">
        <v>36617</v>
      </c>
      <c r="B195">
        <v>9124.152</v>
      </c>
      <c r="C195">
        <v>14130.907999999999</v>
      </c>
      <c r="D195">
        <v>72.52</v>
      </c>
      <c r="E195">
        <v>5.71</v>
      </c>
      <c r="F195">
        <v>212242</v>
      </c>
    </row>
    <row r="196" spans="1:6" x14ac:dyDescent="0.5">
      <c r="A196">
        <v>36708</v>
      </c>
      <c r="B196">
        <v>9211.5689999999995</v>
      </c>
      <c r="C196">
        <v>14145.312</v>
      </c>
      <c r="D196">
        <v>72.944000000000003</v>
      </c>
      <c r="E196">
        <v>6.02</v>
      </c>
      <c r="F196">
        <v>212919</v>
      </c>
    </row>
    <row r="197" spans="1:6" x14ac:dyDescent="0.5">
      <c r="A197">
        <v>36800</v>
      </c>
      <c r="B197">
        <v>9292.0499999999993</v>
      </c>
      <c r="C197">
        <v>14229.764999999999</v>
      </c>
      <c r="D197">
        <v>73.337000000000003</v>
      </c>
      <c r="E197">
        <v>6.02</v>
      </c>
      <c r="F197">
        <v>213560</v>
      </c>
    </row>
    <row r="198" spans="1:6" x14ac:dyDescent="0.5">
      <c r="A198">
        <v>36892</v>
      </c>
      <c r="B198">
        <v>9325.7510000000002</v>
      </c>
      <c r="C198">
        <v>14183.12</v>
      </c>
      <c r="D198">
        <v>73.822000000000003</v>
      </c>
      <c r="E198">
        <v>4.82</v>
      </c>
      <c r="F198">
        <v>214101</v>
      </c>
    </row>
    <row r="199" spans="1:6" x14ac:dyDescent="0.5">
      <c r="A199">
        <v>36982</v>
      </c>
      <c r="B199">
        <v>9344.4860000000008</v>
      </c>
      <c r="C199">
        <v>14271.694</v>
      </c>
      <c r="D199">
        <v>74.266000000000005</v>
      </c>
      <c r="E199">
        <v>3.66</v>
      </c>
      <c r="F199">
        <v>214736</v>
      </c>
    </row>
    <row r="200" spans="1:6" x14ac:dyDescent="0.5">
      <c r="A200">
        <v>37073</v>
      </c>
      <c r="B200">
        <v>9377.0030000000006</v>
      </c>
      <c r="C200">
        <v>14214.516</v>
      </c>
      <c r="D200">
        <v>74.558000000000007</v>
      </c>
      <c r="E200">
        <v>3.17</v>
      </c>
      <c r="F200">
        <v>215422</v>
      </c>
    </row>
    <row r="201" spans="1:6" x14ac:dyDescent="0.5">
      <c r="A201">
        <v>37165</v>
      </c>
      <c r="B201">
        <v>9528.3019999999997</v>
      </c>
      <c r="C201">
        <v>14253.574000000001</v>
      </c>
      <c r="D201">
        <v>74.792000000000002</v>
      </c>
      <c r="E201">
        <v>1.91</v>
      </c>
      <c r="F201">
        <v>216112</v>
      </c>
    </row>
    <row r="202" spans="1:6" x14ac:dyDescent="0.5">
      <c r="A202">
        <v>37257</v>
      </c>
      <c r="B202">
        <v>9549.5159999999996</v>
      </c>
      <c r="C202">
        <v>14372.785</v>
      </c>
      <c r="D202">
        <v>75.027000000000001</v>
      </c>
      <c r="E202">
        <v>1.72</v>
      </c>
      <c r="F202">
        <v>216664</v>
      </c>
    </row>
    <row r="203" spans="1:6" x14ac:dyDescent="0.5">
      <c r="A203">
        <v>37347</v>
      </c>
      <c r="B203">
        <v>9597.82</v>
      </c>
      <c r="C203">
        <v>14460.848</v>
      </c>
      <c r="D203">
        <v>75.289000000000001</v>
      </c>
      <c r="E203">
        <v>1.71</v>
      </c>
      <c r="F203">
        <v>217204</v>
      </c>
    </row>
    <row r="204" spans="1:6" x14ac:dyDescent="0.5">
      <c r="A204">
        <v>37438</v>
      </c>
      <c r="B204">
        <v>9664.9879999999994</v>
      </c>
      <c r="C204">
        <v>14519.633</v>
      </c>
      <c r="D204">
        <v>75.650000000000006</v>
      </c>
      <c r="E204">
        <v>1.64</v>
      </c>
      <c r="F204">
        <v>217868</v>
      </c>
    </row>
    <row r="205" spans="1:6" x14ac:dyDescent="0.5">
      <c r="A205">
        <v>37530</v>
      </c>
      <c r="B205">
        <v>9718.7450000000008</v>
      </c>
      <c r="C205">
        <v>14537.58</v>
      </c>
      <c r="D205">
        <v>76.088999999999999</v>
      </c>
      <c r="E205">
        <v>1.33</v>
      </c>
      <c r="F205">
        <v>218543</v>
      </c>
    </row>
    <row r="206" spans="1:6" x14ac:dyDescent="0.5">
      <c r="A206">
        <v>37622</v>
      </c>
      <c r="B206">
        <v>9766.616</v>
      </c>
      <c r="C206">
        <v>14614.141</v>
      </c>
      <c r="D206">
        <v>76.460999999999999</v>
      </c>
      <c r="E206">
        <v>1.1599999999999999</v>
      </c>
      <c r="F206">
        <v>220109</v>
      </c>
    </row>
    <row r="207" spans="1:6" x14ac:dyDescent="0.5">
      <c r="A207">
        <v>37712</v>
      </c>
      <c r="B207">
        <v>9878.4419999999991</v>
      </c>
      <c r="C207">
        <v>14743.566999999999</v>
      </c>
      <c r="D207">
        <v>76.73</v>
      </c>
      <c r="E207">
        <v>1.04</v>
      </c>
      <c r="F207">
        <v>220774</v>
      </c>
    </row>
    <row r="208" spans="1:6" x14ac:dyDescent="0.5">
      <c r="A208">
        <v>37803</v>
      </c>
      <c r="B208">
        <v>10018.121999999999</v>
      </c>
      <c r="C208">
        <v>14988.781999999999</v>
      </c>
      <c r="D208">
        <v>77.168999999999997</v>
      </c>
      <c r="E208">
        <v>0.93</v>
      </c>
      <c r="F208">
        <v>221513</v>
      </c>
    </row>
    <row r="209" spans="1:6" x14ac:dyDescent="0.5">
      <c r="A209">
        <v>37895</v>
      </c>
      <c r="B209">
        <v>10087.092000000001</v>
      </c>
      <c r="C209">
        <v>15162.76</v>
      </c>
      <c r="D209">
        <v>77.638999999999996</v>
      </c>
      <c r="E209">
        <v>0.92</v>
      </c>
      <c r="F209">
        <v>222276</v>
      </c>
    </row>
    <row r="210" spans="1:6" x14ac:dyDescent="0.5">
      <c r="A210">
        <v>37987</v>
      </c>
      <c r="B210">
        <v>10181.141</v>
      </c>
      <c r="C210">
        <v>15248.68</v>
      </c>
      <c r="D210">
        <v>78.192999999999998</v>
      </c>
      <c r="E210">
        <v>0.92</v>
      </c>
      <c r="F210">
        <v>222356</v>
      </c>
    </row>
    <row r="211" spans="1:6" x14ac:dyDescent="0.5">
      <c r="A211">
        <v>38078</v>
      </c>
      <c r="B211">
        <v>10236.694</v>
      </c>
      <c r="C211">
        <v>15366.85</v>
      </c>
      <c r="D211">
        <v>78.823999999999998</v>
      </c>
      <c r="E211">
        <v>1.08</v>
      </c>
      <c r="F211">
        <v>222973</v>
      </c>
    </row>
    <row r="212" spans="1:6" x14ac:dyDescent="0.5">
      <c r="A212">
        <v>38169</v>
      </c>
      <c r="B212">
        <v>10356.936</v>
      </c>
      <c r="C212">
        <v>15512.619000000001</v>
      </c>
      <c r="D212">
        <v>79.323999999999998</v>
      </c>
      <c r="E212">
        <v>1.49</v>
      </c>
      <c r="F212">
        <v>223680</v>
      </c>
    </row>
    <row r="213" spans="1:6" x14ac:dyDescent="0.5">
      <c r="A213">
        <v>38261</v>
      </c>
      <c r="B213">
        <v>10474.084000000001</v>
      </c>
      <c r="C213">
        <v>15670.88</v>
      </c>
      <c r="D213">
        <v>79.938999999999993</v>
      </c>
      <c r="E213">
        <v>2.0099999999999998</v>
      </c>
      <c r="F213">
        <v>224418</v>
      </c>
    </row>
    <row r="214" spans="1:6" x14ac:dyDescent="0.5">
      <c r="A214">
        <v>38353</v>
      </c>
      <c r="B214">
        <v>10540.638000000001</v>
      </c>
      <c r="C214">
        <v>15844.727000000001</v>
      </c>
      <c r="D214">
        <v>80.578000000000003</v>
      </c>
      <c r="E214">
        <v>2.54</v>
      </c>
      <c r="F214">
        <v>225038</v>
      </c>
    </row>
    <row r="215" spans="1:6" x14ac:dyDescent="0.5">
      <c r="A215">
        <v>38443</v>
      </c>
      <c r="B215">
        <v>10657.449000000001</v>
      </c>
      <c r="C215">
        <v>15922.781999999999</v>
      </c>
      <c r="D215">
        <v>81.158000000000001</v>
      </c>
      <c r="E215">
        <v>2.86</v>
      </c>
      <c r="F215">
        <v>225674</v>
      </c>
    </row>
    <row r="216" spans="1:6" x14ac:dyDescent="0.5">
      <c r="A216">
        <v>38534</v>
      </c>
      <c r="B216">
        <v>10745.873</v>
      </c>
      <c r="C216">
        <v>16047.587</v>
      </c>
      <c r="D216">
        <v>81.897999999999996</v>
      </c>
      <c r="E216">
        <v>3.36</v>
      </c>
      <c r="F216">
        <v>226422</v>
      </c>
    </row>
    <row r="217" spans="1:6" x14ac:dyDescent="0.5">
      <c r="A217">
        <v>38626</v>
      </c>
      <c r="B217">
        <v>10765.68</v>
      </c>
      <c r="C217">
        <v>16136.734</v>
      </c>
      <c r="D217">
        <v>82.570999999999998</v>
      </c>
      <c r="E217">
        <v>3.83</v>
      </c>
      <c r="F217">
        <v>227196</v>
      </c>
    </row>
    <row r="218" spans="1:6" x14ac:dyDescent="0.5">
      <c r="A218">
        <v>38718</v>
      </c>
      <c r="B218">
        <v>10883.075000000001</v>
      </c>
      <c r="C218">
        <v>16353.834999999999</v>
      </c>
      <c r="D218">
        <v>83.156000000000006</v>
      </c>
      <c r="E218">
        <v>4.3899999999999997</v>
      </c>
      <c r="F218">
        <v>227764</v>
      </c>
    </row>
    <row r="219" spans="1:6" x14ac:dyDescent="0.5">
      <c r="A219">
        <v>38808</v>
      </c>
      <c r="B219">
        <v>10939.498</v>
      </c>
      <c r="C219">
        <v>16396.151000000002</v>
      </c>
      <c r="D219">
        <v>83.882000000000005</v>
      </c>
      <c r="E219">
        <v>4.7</v>
      </c>
      <c r="F219">
        <v>228433</v>
      </c>
    </row>
    <row r="220" spans="1:6" x14ac:dyDescent="0.5">
      <c r="A220">
        <v>38899</v>
      </c>
      <c r="B220">
        <v>11009.748</v>
      </c>
      <c r="C220">
        <v>16420.738000000001</v>
      </c>
      <c r="D220">
        <v>84.468000000000004</v>
      </c>
      <c r="E220">
        <v>4.91</v>
      </c>
      <c r="F220">
        <v>229166</v>
      </c>
    </row>
    <row r="221" spans="1:6" x14ac:dyDescent="0.5">
      <c r="A221">
        <v>38991</v>
      </c>
      <c r="B221">
        <v>11114.771000000001</v>
      </c>
      <c r="C221">
        <v>16561.866000000002</v>
      </c>
      <c r="D221">
        <v>84.77</v>
      </c>
      <c r="E221">
        <v>4.9000000000000004</v>
      </c>
      <c r="F221">
        <v>229896</v>
      </c>
    </row>
    <row r="222" spans="1:6" x14ac:dyDescent="0.5">
      <c r="A222">
        <v>39083</v>
      </c>
      <c r="B222">
        <v>11183.323</v>
      </c>
      <c r="C222">
        <v>16611.689999999999</v>
      </c>
      <c r="D222">
        <v>85.575999999999993</v>
      </c>
      <c r="E222">
        <v>4.9800000000000004</v>
      </c>
      <c r="F222">
        <v>230839</v>
      </c>
    </row>
    <row r="223" spans="1:6" x14ac:dyDescent="0.5">
      <c r="A223">
        <v>39173</v>
      </c>
      <c r="B223">
        <v>11212.669</v>
      </c>
      <c r="C223">
        <v>16713.313999999998</v>
      </c>
      <c r="D223">
        <v>86.171000000000006</v>
      </c>
      <c r="E223">
        <v>4.74</v>
      </c>
      <c r="F223">
        <v>231482</v>
      </c>
    </row>
    <row r="224" spans="1:6" x14ac:dyDescent="0.5">
      <c r="A224">
        <v>39264</v>
      </c>
      <c r="B224">
        <v>11287.468000000001</v>
      </c>
      <c r="C224">
        <v>16809.587</v>
      </c>
      <c r="D224">
        <v>86.641999999999996</v>
      </c>
      <c r="E224">
        <v>4.3</v>
      </c>
      <c r="F224">
        <v>232210</v>
      </c>
    </row>
    <row r="225" spans="1:6" x14ac:dyDescent="0.5">
      <c r="A225">
        <v>39356</v>
      </c>
      <c r="B225">
        <v>11331.949000000001</v>
      </c>
      <c r="C225">
        <v>16915.190999999999</v>
      </c>
      <c r="D225">
        <v>86.992999999999995</v>
      </c>
      <c r="E225">
        <v>3.39</v>
      </c>
      <c r="F225">
        <v>232937</v>
      </c>
    </row>
    <row r="226" spans="1:6" x14ac:dyDescent="0.5">
      <c r="A226">
        <v>39448</v>
      </c>
      <c r="B226">
        <v>11316.411</v>
      </c>
      <c r="C226">
        <v>16843.003000000001</v>
      </c>
      <c r="D226">
        <v>87.314999999999998</v>
      </c>
      <c r="E226">
        <v>2.04</v>
      </c>
      <c r="F226">
        <v>232807</v>
      </c>
    </row>
    <row r="227" spans="1:6" x14ac:dyDescent="0.5">
      <c r="A227">
        <v>39539</v>
      </c>
      <c r="B227">
        <v>11347.594999999999</v>
      </c>
      <c r="C227">
        <v>16943.291000000001</v>
      </c>
      <c r="D227">
        <v>87.738</v>
      </c>
      <c r="E227">
        <v>1.63</v>
      </c>
      <c r="F227">
        <v>233410</v>
      </c>
    </row>
    <row r="228" spans="1:6" x14ac:dyDescent="0.5">
      <c r="A228">
        <v>39630</v>
      </c>
      <c r="B228">
        <v>11260.136</v>
      </c>
      <c r="C228">
        <v>16854.294999999998</v>
      </c>
      <c r="D228">
        <v>88.399000000000001</v>
      </c>
      <c r="E228">
        <v>1.49</v>
      </c>
      <c r="F228">
        <v>234110</v>
      </c>
    </row>
    <row r="229" spans="1:6" x14ac:dyDescent="0.5">
      <c r="A229">
        <v>39722</v>
      </c>
      <c r="B229">
        <v>11158.800999999999</v>
      </c>
      <c r="C229">
        <v>16485.349999999999</v>
      </c>
      <c r="D229">
        <v>88.613</v>
      </c>
      <c r="E229">
        <v>0.3</v>
      </c>
      <c r="F229">
        <v>234825</v>
      </c>
    </row>
    <row r="230" spans="1:6" x14ac:dyDescent="0.5">
      <c r="A230">
        <v>39814</v>
      </c>
      <c r="B230">
        <v>11130.464</v>
      </c>
      <c r="C230">
        <v>16298.262000000001</v>
      </c>
      <c r="D230">
        <v>88.543000000000006</v>
      </c>
      <c r="E230">
        <v>0.21</v>
      </c>
      <c r="F230">
        <v>234913</v>
      </c>
    </row>
    <row r="231" spans="1:6" x14ac:dyDescent="0.5">
      <c r="A231">
        <v>39904</v>
      </c>
      <c r="B231">
        <v>11075.748</v>
      </c>
      <c r="C231">
        <v>16269.145</v>
      </c>
      <c r="D231">
        <v>88.396000000000001</v>
      </c>
      <c r="E231">
        <v>0.17</v>
      </c>
      <c r="F231">
        <v>235459</v>
      </c>
    </row>
    <row r="232" spans="1:6" x14ac:dyDescent="0.5">
      <c r="A232">
        <v>39995</v>
      </c>
      <c r="B232">
        <v>11150.23</v>
      </c>
      <c r="C232">
        <v>16326.281000000001</v>
      </c>
      <c r="D232">
        <v>88.501000000000005</v>
      </c>
      <c r="E232">
        <v>0.16</v>
      </c>
      <c r="F232">
        <v>236093</v>
      </c>
    </row>
    <row r="233" spans="1:6" x14ac:dyDescent="0.5">
      <c r="A233">
        <v>40087</v>
      </c>
      <c r="B233">
        <v>11137.946</v>
      </c>
      <c r="C233">
        <v>16502.754000000001</v>
      </c>
      <c r="D233">
        <v>88.781000000000006</v>
      </c>
      <c r="E233">
        <v>0.06</v>
      </c>
      <c r="F233">
        <v>236739</v>
      </c>
    </row>
    <row r="234" spans="1:6" x14ac:dyDescent="0.5">
      <c r="A234">
        <v>40179</v>
      </c>
      <c r="B234">
        <v>11202.495000000001</v>
      </c>
      <c r="C234">
        <v>16582.71</v>
      </c>
      <c r="D234">
        <v>89.036000000000001</v>
      </c>
      <c r="E234">
        <v>0.11</v>
      </c>
      <c r="F234">
        <v>236996</v>
      </c>
    </row>
    <row r="235" spans="1:6" x14ac:dyDescent="0.5">
      <c r="A235">
        <v>40269</v>
      </c>
      <c r="B235">
        <v>11302.955</v>
      </c>
      <c r="C235">
        <v>16743.162</v>
      </c>
      <c r="D235">
        <v>89.471000000000004</v>
      </c>
      <c r="E235">
        <v>0.15</v>
      </c>
      <c r="F235">
        <v>237506</v>
      </c>
    </row>
    <row r="236" spans="1:6" x14ac:dyDescent="0.5">
      <c r="A236">
        <v>40360</v>
      </c>
      <c r="B236">
        <v>11383.596</v>
      </c>
      <c r="C236">
        <v>16872.266</v>
      </c>
      <c r="D236">
        <v>89.742999999999995</v>
      </c>
      <c r="E236">
        <v>0.16</v>
      </c>
      <c r="F236">
        <v>238104</v>
      </c>
    </row>
    <row r="237" spans="1:6" x14ac:dyDescent="0.5">
      <c r="A237">
        <v>40452</v>
      </c>
      <c r="B237">
        <v>11453.368</v>
      </c>
      <c r="C237">
        <v>16960.864000000001</v>
      </c>
      <c r="D237">
        <v>90.263999999999996</v>
      </c>
      <c r="E237">
        <v>0.14000000000000001</v>
      </c>
      <c r="F237">
        <v>238711</v>
      </c>
    </row>
    <row r="238" spans="1:6" x14ac:dyDescent="0.5">
      <c r="A238">
        <v>40544</v>
      </c>
      <c r="B238">
        <v>11497.12</v>
      </c>
      <c r="C238">
        <v>16920.632000000001</v>
      </c>
      <c r="D238">
        <v>90.725999999999999</v>
      </c>
      <c r="E238">
        <v>0.13</v>
      </c>
      <c r="F238">
        <v>238852</v>
      </c>
    </row>
    <row r="239" spans="1:6" x14ac:dyDescent="0.5">
      <c r="A239">
        <v>40634</v>
      </c>
      <c r="B239">
        <v>11508.95</v>
      </c>
      <c r="C239">
        <v>17035.114000000001</v>
      </c>
      <c r="D239">
        <v>91.325999999999993</v>
      </c>
      <c r="E239">
        <v>0.05</v>
      </c>
      <c r="F239">
        <v>239316</v>
      </c>
    </row>
    <row r="240" spans="1:6" x14ac:dyDescent="0.5">
      <c r="A240">
        <v>40725</v>
      </c>
      <c r="B240">
        <v>11543.975</v>
      </c>
      <c r="C240">
        <v>17031.312999999998</v>
      </c>
      <c r="D240">
        <v>91.876000000000005</v>
      </c>
      <c r="E240">
        <v>0.02</v>
      </c>
      <c r="F240">
        <v>239871</v>
      </c>
    </row>
    <row r="241" spans="1:6" x14ac:dyDescent="0.5">
      <c r="A241">
        <v>40817</v>
      </c>
      <c r="B241">
        <v>11563.89</v>
      </c>
      <c r="C241">
        <v>17222.582999999999</v>
      </c>
      <c r="D241">
        <v>91.984999999999999</v>
      </c>
      <c r="E241">
        <v>0.01</v>
      </c>
      <c r="F241">
        <v>240431</v>
      </c>
    </row>
    <row r="242" spans="1:6" x14ac:dyDescent="0.5">
      <c r="A242">
        <v>40909</v>
      </c>
      <c r="B242">
        <v>11647.297</v>
      </c>
      <c r="C242">
        <v>17367.009999999998</v>
      </c>
      <c r="D242">
        <v>92.525000000000006</v>
      </c>
      <c r="E242">
        <v>7.0000000000000007E-2</v>
      </c>
      <c r="F242">
        <v>242436</v>
      </c>
    </row>
    <row r="243" spans="1:6" x14ac:dyDescent="0.5">
      <c r="A243">
        <v>41000</v>
      </c>
      <c r="B243">
        <v>11667.753000000001</v>
      </c>
      <c r="C243">
        <v>17444.525000000001</v>
      </c>
      <c r="D243">
        <v>92.906999999999996</v>
      </c>
      <c r="E243">
        <v>0.09</v>
      </c>
      <c r="F243">
        <v>242968</v>
      </c>
    </row>
    <row r="244" spans="1:6" x14ac:dyDescent="0.5">
      <c r="A244">
        <v>41091</v>
      </c>
      <c r="B244">
        <v>11691.414000000001</v>
      </c>
      <c r="C244">
        <v>17469.650000000001</v>
      </c>
      <c r="D244">
        <v>93.417000000000002</v>
      </c>
      <c r="E244">
        <v>0.1</v>
      </c>
      <c r="F244">
        <v>243564</v>
      </c>
    </row>
    <row r="245" spans="1:6" x14ac:dyDescent="0.5">
      <c r="A245">
        <v>41183</v>
      </c>
      <c r="B245">
        <v>11738.007</v>
      </c>
      <c r="C245">
        <v>17489.851999999999</v>
      </c>
      <c r="D245">
        <v>93.885000000000005</v>
      </c>
      <c r="E245">
        <v>0.09</v>
      </c>
      <c r="F245">
        <v>244169</v>
      </c>
    </row>
    <row r="246" spans="1:6" x14ac:dyDescent="0.5">
      <c r="A246">
        <v>41275</v>
      </c>
      <c r="B246">
        <v>11814.325999999999</v>
      </c>
      <c r="C246">
        <v>17662.400000000001</v>
      </c>
      <c r="D246">
        <v>94.257999999999996</v>
      </c>
      <c r="E246">
        <v>0.09</v>
      </c>
      <c r="F246">
        <v>244829</v>
      </c>
    </row>
    <row r="247" spans="1:6" x14ac:dyDescent="0.5">
      <c r="A247">
        <v>41365</v>
      </c>
      <c r="B247">
        <v>11848.089</v>
      </c>
      <c r="C247">
        <v>17709.670999999998</v>
      </c>
      <c r="D247">
        <v>94.460999999999999</v>
      </c>
      <c r="E247">
        <v>0.05</v>
      </c>
      <c r="F247">
        <v>245363</v>
      </c>
    </row>
    <row r="248" spans="1:6" x14ac:dyDescent="0.5">
      <c r="A248">
        <v>41456</v>
      </c>
      <c r="B248">
        <v>11896.258</v>
      </c>
      <c r="C248">
        <v>17860.45</v>
      </c>
      <c r="D248">
        <v>94.924000000000007</v>
      </c>
      <c r="E248">
        <v>0.03</v>
      </c>
      <c r="F248">
        <v>245961</v>
      </c>
    </row>
    <row r="249" spans="1:6" x14ac:dyDescent="0.5">
      <c r="A249">
        <v>41548</v>
      </c>
      <c r="B249">
        <v>12001.027</v>
      </c>
      <c r="C249">
        <v>18016.147000000001</v>
      </c>
      <c r="D249">
        <v>95.426000000000002</v>
      </c>
      <c r="E249">
        <v>0.06</v>
      </c>
      <c r="F249">
        <v>246564</v>
      </c>
    </row>
    <row r="250" spans="1:6" x14ac:dyDescent="0.5">
      <c r="A250">
        <v>41640</v>
      </c>
      <c r="B250">
        <v>12044.203</v>
      </c>
      <c r="C250">
        <v>17953.973999999998</v>
      </c>
      <c r="D250">
        <v>95.787999999999997</v>
      </c>
      <c r="E250">
        <v>0.05</v>
      </c>
      <c r="F250">
        <v>247086</v>
      </c>
    </row>
    <row r="251" spans="1:6" x14ac:dyDescent="0.5">
      <c r="A251">
        <v>41730</v>
      </c>
      <c r="B251">
        <v>12159.898999999999</v>
      </c>
      <c r="C251">
        <v>18185.911</v>
      </c>
      <c r="D251">
        <v>96.33</v>
      </c>
      <c r="E251">
        <v>0.03</v>
      </c>
      <c r="F251">
        <v>247625</v>
      </c>
    </row>
    <row r="252" spans="1:6" x14ac:dyDescent="0.5">
      <c r="A252">
        <v>41821</v>
      </c>
      <c r="B252">
        <v>12280.085999999999</v>
      </c>
      <c r="C252">
        <v>18406.940999999999</v>
      </c>
      <c r="D252">
        <v>96.725999999999999</v>
      </c>
      <c r="E252">
        <v>0.03</v>
      </c>
      <c r="F252">
        <v>248233</v>
      </c>
    </row>
    <row r="253" spans="1:6" x14ac:dyDescent="0.5">
      <c r="A253">
        <v>41913</v>
      </c>
      <c r="B253">
        <v>12421.594999999999</v>
      </c>
      <c r="C253">
        <v>18500.030999999999</v>
      </c>
      <c r="D253">
        <v>96.822000000000003</v>
      </c>
      <c r="E253">
        <v>0.02</v>
      </c>
      <c r="F253">
        <v>248843</v>
      </c>
    </row>
    <row r="254" spans="1:6" x14ac:dyDescent="0.5">
      <c r="A254">
        <v>42005</v>
      </c>
      <c r="B254">
        <v>12516.902</v>
      </c>
      <c r="C254">
        <v>18666.620999999999</v>
      </c>
      <c r="D254">
        <v>96.769000000000005</v>
      </c>
      <c r="E254">
        <v>0.03</v>
      </c>
      <c r="F254">
        <v>249901</v>
      </c>
    </row>
    <row r="255" spans="1:6" x14ac:dyDescent="0.5">
      <c r="A255">
        <v>42095</v>
      </c>
      <c r="B255">
        <v>12603.053</v>
      </c>
      <c r="C255">
        <v>18782.242999999999</v>
      </c>
      <c r="D255">
        <v>97.325000000000003</v>
      </c>
      <c r="E255">
        <v>0.02</v>
      </c>
      <c r="F255">
        <v>250461</v>
      </c>
    </row>
    <row r="256" spans="1:6" x14ac:dyDescent="0.5">
      <c r="A256">
        <v>42186</v>
      </c>
      <c r="B256">
        <v>12691.79</v>
      </c>
      <c r="C256">
        <v>18857.418000000001</v>
      </c>
      <c r="D256">
        <v>97.582999999999998</v>
      </c>
      <c r="E256">
        <v>0.04</v>
      </c>
      <c r="F256">
        <v>251099</v>
      </c>
    </row>
    <row r="257" spans="1:6" x14ac:dyDescent="0.5">
      <c r="A257">
        <v>42278</v>
      </c>
      <c r="B257">
        <v>12743.411</v>
      </c>
      <c r="C257">
        <v>18892.205999999998</v>
      </c>
      <c r="D257">
        <v>97.581000000000003</v>
      </c>
      <c r="E257">
        <v>0.12</v>
      </c>
      <c r="F257">
        <v>251741</v>
      </c>
    </row>
    <row r="258" spans="1:6" x14ac:dyDescent="0.5">
      <c r="A258">
        <v>42370</v>
      </c>
      <c r="B258">
        <v>12839.618</v>
      </c>
      <c r="C258">
        <v>19001.689999999999</v>
      </c>
      <c r="D258">
        <v>97.495999999999995</v>
      </c>
      <c r="E258">
        <v>0.28999999999999998</v>
      </c>
      <c r="F258">
        <v>252581</v>
      </c>
    </row>
    <row r="259" spans="1:6" x14ac:dyDescent="0.5">
      <c r="A259">
        <v>42461</v>
      </c>
      <c r="B259">
        <v>12903.306</v>
      </c>
      <c r="C259">
        <v>19062.708999999999</v>
      </c>
      <c r="D259">
        <v>98.159000000000006</v>
      </c>
      <c r="E259">
        <v>0.26</v>
      </c>
      <c r="F259">
        <v>253180</v>
      </c>
    </row>
    <row r="260" spans="1:6" x14ac:dyDescent="0.5">
      <c r="A260">
        <v>42552</v>
      </c>
      <c r="B260">
        <v>12993.064</v>
      </c>
      <c r="C260">
        <v>19197.937999999998</v>
      </c>
      <c r="D260">
        <v>98.41</v>
      </c>
      <c r="E260">
        <v>0.3</v>
      </c>
      <c r="F260">
        <v>253855</v>
      </c>
    </row>
    <row r="261" spans="1:6" x14ac:dyDescent="0.5">
      <c r="A261">
        <v>42644</v>
      </c>
      <c r="B261">
        <v>13060.061</v>
      </c>
      <c r="C261">
        <v>19304.351999999999</v>
      </c>
      <c r="D261">
        <v>98.885999999999996</v>
      </c>
      <c r="E261">
        <v>0.43</v>
      </c>
      <c r="F261">
        <v>254534</v>
      </c>
    </row>
    <row r="262" spans="1:6" x14ac:dyDescent="0.5">
      <c r="A262">
        <v>42736</v>
      </c>
      <c r="B262">
        <v>13160.475</v>
      </c>
      <c r="C262">
        <v>19398.343000000001</v>
      </c>
      <c r="D262">
        <v>99.39</v>
      </c>
      <c r="E262">
        <v>0.59</v>
      </c>
      <c r="F262">
        <v>254247</v>
      </c>
    </row>
    <row r="263" spans="1:6" x14ac:dyDescent="0.5">
      <c r="A263">
        <v>42826</v>
      </c>
      <c r="B263">
        <v>13225.743</v>
      </c>
      <c r="C263">
        <v>19506.949000000001</v>
      </c>
      <c r="D263">
        <v>99.65</v>
      </c>
      <c r="E263">
        <v>0.89</v>
      </c>
      <c r="F263">
        <v>254771</v>
      </c>
    </row>
    <row r="264" spans="1:6" x14ac:dyDescent="0.5">
      <c r="A264">
        <v>42917</v>
      </c>
      <c r="B264">
        <v>13315.382</v>
      </c>
      <c r="C264">
        <v>19660.766</v>
      </c>
      <c r="D264">
        <v>100.16200000000001</v>
      </c>
      <c r="E264">
        <v>1.04</v>
      </c>
      <c r="F264">
        <v>255357</v>
      </c>
    </row>
    <row r="265" spans="1:6" x14ac:dyDescent="0.5">
      <c r="A265">
        <v>43009</v>
      </c>
      <c r="B265">
        <v>13460.902</v>
      </c>
      <c r="C265">
        <v>19882.351999999999</v>
      </c>
      <c r="D265">
        <v>100.77800000000001</v>
      </c>
      <c r="E265">
        <v>1.21</v>
      </c>
      <c r="F265">
        <v>255941</v>
      </c>
    </row>
    <row r="266" spans="1:6" x14ac:dyDescent="0.5">
      <c r="A266">
        <v>43101</v>
      </c>
      <c r="B266">
        <v>13558.373</v>
      </c>
      <c r="C266">
        <v>20044.077000000001</v>
      </c>
      <c r="D266">
        <v>101.419</v>
      </c>
      <c r="E266">
        <v>1.56</v>
      </c>
      <c r="F266">
        <v>256937</v>
      </c>
    </row>
    <row r="267" spans="1:6" x14ac:dyDescent="0.5">
      <c r="A267">
        <v>43191</v>
      </c>
      <c r="B267">
        <v>13630.967000000001</v>
      </c>
      <c r="C267">
        <v>20150.475999999999</v>
      </c>
      <c r="D267">
        <v>102.136</v>
      </c>
      <c r="E267">
        <v>1.84</v>
      </c>
      <c r="F267">
        <v>257456</v>
      </c>
    </row>
    <row r="268" spans="1:6" x14ac:dyDescent="0.5">
      <c r="A268">
        <v>43282</v>
      </c>
      <c r="B268">
        <v>13693.79</v>
      </c>
      <c r="C268">
        <v>20276.153999999999</v>
      </c>
      <c r="D268">
        <v>102.577</v>
      </c>
      <c r="E268">
        <v>2.04</v>
      </c>
      <c r="F268">
        <v>258066</v>
      </c>
    </row>
    <row r="269" spans="1:6" x14ac:dyDescent="0.5">
      <c r="A269">
        <v>43374</v>
      </c>
      <c r="B269">
        <v>13736.572</v>
      </c>
      <c r="C269">
        <v>20304.874</v>
      </c>
      <c r="D269">
        <v>103.01900000000001</v>
      </c>
      <c r="E269">
        <v>2.3199999999999998</v>
      </c>
      <c r="F269">
        <v>258703</v>
      </c>
    </row>
    <row r="270" spans="1:6" x14ac:dyDescent="0.5">
      <c r="A270">
        <v>43466</v>
      </c>
      <c r="B270">
        <v>13758.331</v>
      </c>
      <c r="C270">
        <v>20431.641</v>
      </c>
      <c r="D270">
        <v>103.328</v>
      </c>
      <c r="E270">
        <v>2.39</v>
      </c>
      <c r="F270">
        <v>258389</v>
      </c>
    </row>
    <row r="271" spans="1:6" x14ac:dyDescent="0.5">
      <c r="A271">
        <v>43556</v>
      </c>
      <c r="B271">
        <v>13875.705</v>
      </c>
      <c r="C271">
        <v>20602.275000000001</v>
      </c>
      <c r="D271">
        <v>103.86199999999999</v>
      </c>
      <c r="E271">
        <v>2.2999999999999998</v>
      </c>
      <c r="F271">
        <v>258864</v>
      </c>
    </row>
    <row r="272" spans="1:6" x14ac:dyDescent="0.5">
      <c r="A272">
        <v>43647</v>
      </c>
      <c r="B272">
        <v>14033.222</v>
      </c>
      <c r="C272">
        <v>20843.322</v>
      </c>
      <c r="D272">
        <v>104.19199999999999</v>
      </c>
      <c r="E272">
        <v>1.98</v>
      </c>
      <c r="F272">
        <v>259432</v>
      </c>
    </row>
    <row r="273" spans="1:6" x14ac:dyDescent="0.5">
      <c r="A273">
        <v>43739</v>
      </c>
      <c r="B273">
        <v>14125.273999999999</v>
      </c>
      <c r="C273">
        <v>20985.448</v>
      </c>
      <c r="D273">
        <v>104.51600000000001</v>
      </c>
      <c r="E273">
        <v>1.58</v>
      </c>
      <c r="F273">
        <v>260015</v>
      </c>
    </row>
    <row r="274" spans="1:6" x14ac:dyDescent="0.5">
      <c r="A274">
        <v>43831</v>
      </c>
      <c r="B274">
        <v>13887.048000000001</v>
      </c>
      <c r="C274">
        <v>20709.212</v>
      </c>
      <c r="D274">
        <v>105.032</v>
      </c>
      <c r="E274">
        <v>1.1100000000000001</v>
      </c>
      <c r="F274">
        <v>259629</v>
      </c>
    </row>
    <row r="275" spans="1:6" x14ac:dyDescent="0.5">
      <c r="A275">
        <v>43922</v>
      </c>
      <c r="B275">
        <v>12685.319</v>
      </c>
      <c r="C275">
        <v>19077.991999999998</v>
      </c>
      <c r="D275">
        <v>104.614</v>
      </c>
      <c r="E275">
        <v>0.14000000000000001</v>
      </c>
      <c r="F275">
        <v>260049</v>
      </c>
    </row>
    <row r="276" spans="1:6" x14ac:dyDescent="0.5">
      <c r="A276">
        <v>44013</v>
      </c>
      <c r="B276">
        <v>13813.706</v>
      </c>
      <c r="C276">
        <v>20558.879000000001</v>
      </c>
      <c r="D276">
        <v>105.572</v>
      </c>
      <c r="E276">
        <v>0.11</v>
      </c>
      <c r="F276">
        <v>260558</v>
      </c>
    </row>
    <row r="277" spans="1:6" x14ac:dyDescent="0.5">
      <c r="A277">
        <v>44105</v>
      </c>
      <c r="B277">
        <v>14001.366</v>
      </c>
      <c r="C277">
        <v>20791.917000000001</v>
      </c>
      <c r="D277">
        <v>106.23</v>
      </c>
      <c r="E277">
        <v>0.09</v>
      </c>
      <c r="F277">
        <v>261080</v>
      </c>
    </row>
    <row r="278" spans="1:6" x14ac:dyDescent="0.5">
      <c r="A278">
        <v>44197</v>
      </c>
      <c r="B278">
        <v>14319.617</v>
      </c>
      <c r="C278">
        <v>21082.133999999998</v>
      </c>
      <c r="D278">
        <v>107.583</v>
      </c>
      <c r="E278">
        <v>0.05</v>
      </c>
      <c r="F278">
        <v>260924</v>
      </c>
    </row>
    <row r="279" spans="1:6" x14ac:dyDescent="0.5">
      <c r="A279">
        <v>44287</v>
      </c>
      <c r="B279">
        <v>14820.013999999999</v>
      </c>
      <c r="C279">
        <v>21440.929</v>
      </c>
      <c r="D279">
        <v>109.258</v>
      </c>
      <c r="E279">
        <v>0.03</v>
      </c>
      <c r="F279">
        <v>261217</v>
      </c>
    </row>
    <row r="280" spans="1:6" x14ac:dyDescent="0.5">
      <c r="A280">
        <v>44378</v>
      </c>
      <c r="B280">
        <v>14943.244000000001</v>
      </c>
      <c r="C280">
        <v>21617.828000000001</v>
      </c>
      <c r="D280">
        <v>110.938</v>
      </c>
      <c r="E280">
        <v>0.05</v>
      </c>
      <c r="F280">
        <v>261615</v>
      </c>
    </row>
    <row r="281" spans="1:6" x14ac:dyDescent="0.5">
      <c r="A281">
        <v>44470</v>
      </c>
      <c r="B281">
        <v>15086.861999999999</v>
      </c>
      <c r="C281">
        <v>21988.737000000001</v>
      </c>
      <c r="D281">
        <v>112.84699999999999</v>
      </c>
      <c r="E281">
        <v>0.05</v>
      </c>
      <c r="F281">
        <v>262024</v>
      </c>
    </row>
    <row r="282" spans="1:6" x14ac:dyDescent="0.5">
      <c r="A282">
        <v>44562</v>
      </c>
      <c r="B282">
        <v>15100.85</v>
      </c>
      <c r="C282">
        <v>21932.71</v>
      </c>
      <c r="D282">
        <v>115.126</v>
      </c>
      <c r="E282">
        <v>0.31</v>
      </c>
      <c r="F282">
        <v>263323</v>
      </c>
    </row>
    <row r="283" spans="1:6" x14ac:dyDescent="0.5">
      <c r="A283">
        <v>44652</v>
      </c>
      <c r="B283">
        <v>15224.357</v>
      </c>
      <c r="C283">
        <v>21967.044999999998</v>
      </c>
      <c r="D283">
        <v>117.72799999999999</v>
      </c>
      <c r="E283">
        <v>1.08</v>
      </c>
      <c r="F283">
        <v>263691</v>
      </c>
    </row>
    <row r="284" spans="1:6" x14ac:dyDescent="0.5">
      <c r="A284">
        <v>44743</v>
      </c>
      <c r="B284">
        <v>15295.828</v>
      </c>
      <c r="C284">
        <v>22125.625</v>
      </c>
      <c r="D284">
        <v>119.03100000000001</v>
      </c>
      <c r="E284">
        <v>2.66</v>
      </c>
      <c r="F284">
        <v>264184</v>
      </c>
    </row>
    <row r="285" spans="1:6" x14ac:dyDescent="0.5">
      <c r="A285">
        <v>44835</v>
      </c>
      <c r="B285">
        <v>15326.248</v>
      </c>
      <c r="C285">
        <v>22278.345000000001</v>
      </c>
      <c r="D285">
        <v>120.164</v>
      </c>
      <c r="E285">
        <v>4.04</v>
      </c>
      <c r="F285">
        <v>264696</v>
      </c>
    </row>
    <row r="286" spans="1:6" x14ac:dyDescent="0.5">
      <c r="A286">
        <v>44927</v>
      </c>
      <c r="B286">
        <v>15495.754000000001</v>
      </c>
      <c r="C286">
        <v>22439.607</v>
      </c>
      <c r="D286">
        <v>121.288</v>
      </c>
      <c r="E286">
        <v>4.63</v>
      </c>
      <c r="F286">
        <v>266115</v>
      </c>
    </row>
    <row r="287" spans="1:6" x14ac:dyDescent="0.5">
      <c r="A287">
        <v>45017</v>
      </c>
      <c r="B287">
        <v>15553.718999999999</v>
      </c>
      <c r="C287">
        <v>22580.499</v>
      </c>
      <c r="D287">
        <v>121.92</v>
      </c>
      <c r="E287">
        <v>5.07</v>
      </c>
      <c r="F287">
        <v>266621</v>
      </c>
    </row>
    <row r="288" spans="1:6" x14ac:dyDescent="0.5">
      <c r="A288">
        <v>45108</v>
      </c>
      <c r="B288">
        <v>15671.906000000001</v>
      </c>
      <c r="C288">
        <v>22840.989000000001</v>
      </c>
      <c r="D288">
        <v>122.914</v>
      </c>
      <c r="E288">
        <v>5.29</v>
      </c>
      <c r="F288">
        <v>267214</v>
      </c>
    </row>
    <row r="289" spans="1:6" x14ac:dyDescent="0.5">
      <c r="A289">
        <v>45200</v>
      </c>
      <c r="B289">
        <v>15789.717000000001</v>
      </c>
      <c r="C289">
        <v>23033.78</v>
      </c>
      <c r="D289">
        <v>123.405</v>
      </c>
      <c r="E289">
        <v>5.28</v>
      </c>
      <c r="F289">
        <v>267818</v>
      </c>
    </row>
    <row r="290" spans="1:6" x14ac:dyDescent="0.5">
      <c r="A290">
        <v>45292</v>
      </c>
      <c r="B290">
        <v>15857.704</v>
      </c>
      <c r="C290">
        <v>23082.118999999999</v>
      </c>
      <c r="D290">
        <v>124.374</v>
      </c>
      <c r="E290">
        <v>5.23</v>
      </c>
      <c r="F290">
        <v>267712</v>
      </c>
    </row>
    <row r="291" spans="1:6" x14ac:dyDescent="0.5">
      <c r="A291">
        <v>45383</v>
      </c>
      <c r="B291">
        <v>16009.637000000001</v>
      </c>
      <c r="C291">
        <v>23286.508000000002</v>
      </c>
      <c r="D291">
        <v>125.167</v>
      </c>
      <c r="E291">
        <v>5.24</v>
      </c>
      <c r="F291">
        <v>268251</v>
      </c>
    </row>
    <row r="292" spans="1:6" x14ac:dyDescent="0.5">
      <c r="A292">
        <v>45474</v>
      </c>
      <c r="B292">
        <v>16165.768</v>
      </c>
      <c r="C292">
        <v>23478.57</v>
      </c>
      <c r="D292">
        <v>125.696</v>
      </c>
      <c r="E292">
        <v>4.99</v>
      </c>
      <c r="F292">
        <v>268860</v>
      </c>
    </row>
    <row r="293" spans="1:6" x14ac:dyDescent="0.5">
      <c r="A293">
        <v>45566</v>
      </c>
      <c r="B293">
        <v>16320.89</v>
      </c>
      <c r="C293">
        <v>23586.542000000001</v>
      </c>
      <c r="D293">
        <v>126.45</v>
      </c>
      <c r="E293">
        <v>4.4000000000000004</v>
      </c>
      <c r="F293">
        <v>269463</v>
      </c>
    </row>
    <row r="294" spans="1:6" x14ac:dyDescent="0.5">
      <c r="A294">
        <v>45658</v>
      </c>
      <c r="B294">
        <v>16345.793</v>
      </c>
      <c r="C294">
        <v>23548.21</v>
      </c>
      <c r="D294">
        <v>127.577</v>
      </c>
      <c r="E294">
        <v>4.21</v>
      </c>
      <c r="F294">
        <v>272852</v>
      </c>
    </row>
    <row r="295" spans="1:6" x14ac:dyDescent="0.5">
      <c r="A295">
        <v>45748</v>
      </c>
      <c r="B295">
        <v>16445.685000000001</v>
      </c>
      <c r="C295">
        <v>23770.975999999999</v>
      </c>
      <c r="D295">
        <v>128.24799999999999</v>
      </c>
      <c r="E295">
        <v>4.2300000000000004</v>
      </c>
      <c r="F295">
        <v>273389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76A5-2FC9-9D49-8BE2-752C599FF0D2}">
  <dimension ref="A1:L295"/>
  <sheetViews>
    <sheetView showGridLines="0" tabSelected="1" zoomScale="101" zoomScaleNormal="99"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E30" sqref="E30"/>
    </sheetView>
  </sheetViews>
  <sheetFormatPr baseColWidth="10" defaultRowHeight="15.75" x14ac:dyDescent="0.5"/>
  <cols>
    <col min="1" max="1" width="15.8125" style="17" customWidth="1"/>
    <col min="2" max="4" width="12.875" style="18" customWidth="1"/>
    <col min="5" max="5" width="12.875" style="19" customWidth="1"/>
    <col min="6" max="6" width="12.875" style="17" customWidth="1"/>
    <col min="7" max="8" width="14.8125" style="17" customWidth="1"/>
    <col min="9" max="9" width="21" style="17" bestFit="1" customWidth="1"/>
    <col min="10" max="11" width="24.5625" style="1" customWidth="1"/>
    <col min="12" max="12" width="30.75" style="1" bestFit="1" customWidth="1"/>
  </cols>
  <sheetData>
    <row r="1" spans="1:12" x14ac:dyDescent="0.5">
      <c r="A1" s="20" t="s">
        <v>4</v>
      </c>
      <c r="B1" s="20" t="s">
        <v>23</v>
      </c>
      <c r="C1" s="20" t="s">
        <v>7</v>
      </c>
      <c r="D1" s="20" t="s">
        <v>21</v>
      </c>
      <c r="E1" s="20" t="s">
        <v>22</v>
      </c>
      <c r="F1" s="20" t="s">
        <v>17</v>
      </c>
      <c r="G1" s="21" t="s">
        <v>8</v>
      </c>
      <c r="H1" s="21" t="s">
        <v>19</v>
      </c>
      <c r="I1" s="21" t="s">
        <v>20</v>
      </c>
      <c r="J1" s="6" t="s">
        <v>9</v>
      </c>
      <c r="K1" s="6" t="s">
        <v>28</v>
      </c>
      <c r="L1" s="6" t="s">
        <v>36</v>
      </c>
    </row>
    <row r="2" spans="1:12" x14ac:dyDescent="0.5">
      <c r="A2" s="11">
        <v>18994</v>
      </c>
      <c r="B2" s="12">
        <v>1565.288</v>
      </c>
      <c r="C2" s="12">
        <v>2727.9540000000002</v>
      </c>
      <c r="D2" s="12">
        <v>13.19</v>
      </c>
      <c r="E2" s="13">
        <v>1.57</v>
      </c>
      <c r="F2" s="14">
        <v>104863</v>
      </c>
      <c r="G2" s="15">
        <f>LN(D3)-LN(D2)</f>
        <v>1.212305043156281E-3</v>
      </c>
      <c r="H2" s="16">
        <f>C2*1000/F2</f>
        <v>26.014456958126317</v>
      </c>
      <c r="I2" s="16">
        <f>B2*1000/F2</f>
        <v>14.926980917959623</v>
      </c>
      <c r="J2" s="5">
        <f>(E2/400)-G2</f>
        <v>2.7126949568437196E-3</v>
      </c>
      <c r="K2" s="5">
        <f>LN(H3)-LN(H2)</f>
        <v>7.6842677520128078E-4</v>
      </c>
      <c r="L2" s="5">
        <f>LN(I3)-LN(I2)</f>
        <v>1.8021420012908074E-2</v>
      </c>
    </row>
    <row r="3" spans="1:12" x14ac:dyDescent="0.5">
      <c r="A3" s="11">
        <v>19085</v>
      </c>
      <c r="B3" s="12">
        <v>1595.941</v>
      </c>
      <c r="C3" s="12">
        <v>2733.8</v>
      </c>
      <c r="D3" s="12">
        <v>13.206</v>
      </c>
      <c r="E3" s="13">
        <v>1.65</v>
      </c>
      <c r="F3" s="14">
        <v>105007</v>
      </c>
      <c r="G3" s="15">
        <f>LN(D4)-LN(D3)</f>
        <v>1.1144693663297733E-2</v>
      </c>
      <c r="H3" s="16">
        <f>C3*1000/F3</f>
        <v>26.034454845867419</v>
      </c>
      <c r="I3" s="16">
        <f>B3*1000/F3</f>
        <v>15.198424866913633</v>
      </c>
      <c r="J3" s="5">
        <f>(E3/400)-G3</f>
        <v>-7.0196936632977332E-3</v>
      </c>
      <c r="K3" s="5">
        <f>LN(H4)-LN(H3)</f>
        <v>3.9917426675102341E-3</v>
      </c>
      <c r="L3" s="5">
        <f>LN(I4)-LN(I3)</f>
        <v>1.5903982118889992E-3</v>
      </c>
    </row>
    <row r="4" spans="1:12" x14ac:dyDescent="0.5">
      <c r="A4" s="11">
        <v>19176</v>
      </c>
      <c r="B4" s="12">
        <v>1603.596</v>
      </c>
      <c r="C4" s="12">
        <v>2753.5169999999998</v>
      </c>
      <c r="D4" s="12">
        <v>13.353999999999999</v>
      </c>
      <c r="E4" s="13">
        <v>1.78</v>
      </c>
      <c r="F4" s="14">
        <v>105343</v>
      </c>
      <c r="G4" s="15">
        <f>LN(D5)-LN(D4)</f>
        <v>2.69219426740408E-3</v>
      </c>
      <c r="H4" s="16">
        <f>C4*1000/F4</f>
        <v>26.138585382987003</v>
      </c>
      <c r="I4" s="16">
        <f>B4*1000/F4</f>
        <v>15.222615646032484</v>
      </c>
      <c r="J4" s="5">
        <f>(E4/400)-G4</f>
        <v>1.75780573259592E-3</v>
      </c>
      <c r="K4" s="5">
        <f>LN(H5)-LN(H4)</f>
        <v>2.8900180807735154E-2</v>
      </c>
      <c r="L4" s="5">
        <f>LN(I5)-LN(I4)</f>
        <v>3.1258612844048184E-2</v>
      </c>
    </row>
    <row r="5" spans="1:12" x14ac:dyDescent="0.5">
      <c r="A5" s="11">
        <v>19268</v>
      </c>
      <c r="B5" s="12">
        <v>1660.1679999999999</v>
      </c>
      <c r="C5" s="12">
        <v>2843.9409999999998</v>
      </c>
      <c r="D5" s="12">
        <v>13.39</v>
      </c>
      <c r="E5" s="13">
        <v>1.89</v>
      </c>
      <c r="F5" s="14">
        <v>105703</v>
      </c>
      <c r="G5" s="15">
        <f>LN(D6)-LN(D5)</f>
        <v>2.2402270190369222E-4</v>
      </c>
      <c r="H5" s="16">
        <f>C5*1000/F5</f>
        <v>26.905016886937929</v>
      </c>
      <c r="I5" s="16">
        <f>B5*1000/F5</f>
        <v>15.705968610162437</v>
      </c>
      <c r="J5" s="5">
        <f>(E5/400)-G5</f>
        <v>4.5009772980963078E-3</v>
      </c>
      <c r="K5" s="5">
        <f>LN(H6)-LN(H5)</f>
        <v>9.2942792703509802E-3</v>
      </c>
      <c r="L5" s="5">
        <f>LN(I6)-LN(I5)</f>
        <v>2.550135514156171E-3</v>
      </c>
    </row>
    <row r="6" spans="1:12" x14ac:dyDescent="0.5">
      <c r="A6" s="11">
        <v>19360</v>
      </c>
      <c r="B6" s="12">
        <v>1679.665</v>
      </c>
      <c r="C6" s="12">
        <v>2896.8110000000001</v>
      </c>
      <c r="D6" s="12">
        <v>13.393000000000001</v>
      </c>
      <c r="E6" s="13">
        <v>1.98</v>
      </c>
      <c r="F6" s="14">
        <v>106672</v>
      </c>
      <c r="G6" s="15">
        <f>LN(D7)-LN(D6)</f>
        <v>2.0139491385506858E-3</v>
      </c>
      <c r="H6" s="16">
        <f>C6*1000/F6</f>
        <v>27.156245312734363</v>
      </c>
      <c r="I6" s="16">
        <f>B6*1000/F6</f>
        <v>15.74607207139643</v>
      </c>
      <c r="J6" s="5">
        <f>(E6/400)-G6</f>
        <v>2.9360508614493137E-3</v>
      </c>
      <c r="K6" s="5">
        <f>LN(H7)-LN(H6)</f>
        <v>5.5193009937313242E-3</v>
      </c>
      <c r="L6" s="5">
        <f>LN(I7)-LN(I6)</f>
        <v>3.8203150500124572E-3</v>
      </c>
    </row>
    <row r="7" spans="1:12" x14ac:dyDescent="0.5">
      <c r="A7" s="11">
        <v>19450</v>
      </c>
      <c r="B7" s="12">
        <v>1689.777</v>
      </c>
      <c r="C7" s="12">
        <v>2919.2060000000001</v>
      </c>
      <c r="D7" s="12">
        <v>13.42</v>
      </c>
      <c r="E7" s="13">
        <v>2.15</v>
      </c>
      <c r="F7" s="14">
        <v>106905</v>
      </c>
      <c r="G7" s="15">
        <f>LN(D8)-LN(D7)</f>
        <v>4.1641940007708378E-3</v>
      </c>
      <c r="H7" s="16">
        <f>C7*1000/F7</f>
        <v>27.306543192554138</v>
      </c>
      <c r="I7" s="16">
        <f>B7*1000/F7</f>
        <v>15.806342079416304</v>
      </c>
      <c r="J7" s="5">
        <f>(E7/400)-G7</f>
        <v>1.2108059992291618E-3</v>
      </c>
      <c r="K7" s="5">
        <f>LN(H8)-LN(H7)</f>
        <v>-7.8368413425531358E-3</v>
      </c>
      <c r="L7" s="5">
        <f>LN(I8)-LN(I7)</f>
        <v>-4.5806133492196643E-3</v>
      </c>
    </row>
    <row r="8" spans="1:12" x14ac:dyDescent="0.5">
      <c r="A8" s="11">
        <v>19541</v>
      </c>
      <c r="B8" s="12">
        <v>1685.752</v>
      </c>
      <c r="C8" s="12">
        <v>2902.7849999999999</v>
      </c>
      <c r="D8" s="12">
        <v>13.476000000000001</v>
      </c>
      <c r="E8" s="13">
        <v>1.96</v>
      </c>
      <c r="F8" s="14">
        <v>107140</v>
      </c>
      <c r="G8" s="15">
        <f>LN(D9)-LN(D8)</f>
        <v>1.8534312308027268E-3</v>
      </c>
      <c r="H8" s="16">
        <f>C8*1000/F8</f>
        <v>27.09338249019974</v>
      </c>
      <c r="I8" s="16">
        <f>B8*1000/F8</f>
        <v>15.734104909464252</v>
      </c>
      <c r="J8" s="5">
        <f>(E8/400)-G8</f>
        <v>3.0465687691972731E-3</v>
      </c>
      <c r="K8" s="5">
        <f>LN(H9)-LN(H8)</f>
        <v>-1.8635287576097337E-2</v>
      </c>
      <c r="L8" s="5">
        <f>LN(I9)-LN(I8)</f>
        <v>-1.0109962814136786E-2</v>
      </c>
    </row>
    <row r="9" spans="1:12" x14ac:dyDescent="0.5">
      <c r="A9" s="11">
        <v>19633</v>
      </c>
      <c r="B9" s="12">
        <v>1674.4490000000001</v>
      </c>
      <c r="C9" s="12">
        <v>2858.8449999999998</v>
      </c>
      <c r="D9" s="12">
        <v>13.500999999999999</v>
      </c>
      <c r="E9" s="13">
        <v>1.47</v>
      </c>
      <c r="F9" s="14">
        <v>107503</v>
      </c>
      <c r="G9" s="15">
        <f>LN(D10)-LN(D9)</f>
        <v>3.1798880557252218E-3</v>
      </c>
      <c r="H9" s="16">
        <f>C9*1000/F9</f>
        <v>26.593164841911388</v>
      </c>
      <c r="I9" s="16">
        <f>B9*1000/F9</f>
        <v>15.575835092974149</v>
      </c>
      <c r="J9" s="5">
        <f>(E9/400)-G9</f>
        <v>4.9511194427477806E-4</v>
      </c>
      <c r="K9" s="5">
        <f>LN(H10)-LN(H9)</f>
        <v>-8.260080043438478E-3</v>
      </c>
      <c r="L9" s="5">
        <f>LN(I10)-LN(I9)</f>
        <v>2.0865705199657469E-4</v>
      </c>
    </row>
    <row r="10" spans="1:12" x14ac:dyDescent="0.5">
      <c r="A10" s="11">
        <v>19725</v>
      </c>
      <c r="B10" s="12">
        <v>1680.625</v>
      </c>
      <c r="C10" s="12">
        <v>2845.192</v>
      </c>
      <c r="D10" s="12">
        <v>13.544</v>
      </c>
      <c r="E10" s="13">
        <v>1.06</v>
      </c>
      <c r="F10" s="14">
        <v>107877</v>
      </c>
      <c r="G10" s="15">
        <f>LN(D11)-LN(D10)</f>
        <v>8.856089139706036E-4</v>
      </c>
      <c r="H10" s="16">
        <f>C10*1000/F10</f>
        <v>26.374407890467847</v>
      </c>
      <c r="I10" s="16">
        <f>B10*1000/F10</f>
        <v>15.579085439899144</v>
      </c>
      <c r="J10" s="5">
        <f>(E10/400)-G10</f>
        <v>1.7643910860293964E-3</v>
      </c>
      <c r="K10" s="5">
        <f>LN(H11)-LN(H10)</f>
        <v>-1.6835568994832961E-3</v>
      </c>
      <c r="L10" s="5">
        <f>LN(I11)-LN(I10)</f>
        <v>1.0124969313026533E-2</v>
      </c>
    </row>
    <row r="11" spans="1:12" x14ac:dyDescent="0.5">
      <c r="A11" s="11">
        <v>19815</v>
      </c>
      <c r="B11" s="12">
        <v>1702.4490000000001</v>
      </c>
      <c r="C11" s="12">
        <v>2848.3049999999998</v>
      </c>
      <c r="D11" s="12">
        <v>13.555999999999999</v>
      </c>
      <c r="E11" s="13">
        <v>0.79</v>
      </c>
      <c r="F11" s="14">
        <v>108177</v>
      </c>
      <c r="G11" s="15">
        <f>LN(D12)-LN(D11)</f>
        <v>1.3269445367614097E-3</v>
      </c>
      <c r="H11" s="16">
        <f>C11*1000/F11</f>
        <v>26.330042430461187</v>
      </c>
      <c r="I11" s="16">
        <f>B11*1000/F11</f>
        <v>15.737624448819989</v>
      </c>
      <c r="J11" s="5">
        <f>(E11/400)-G11</f>
        <v>6.4805546323859053E-4</v>
      </c>
      <c r="K11" s="5">
        <f>LN(H12)-LN(H11)</f>
        <v>8.777645927518396E-3</v>
      </c>
      <c r="L11" s="5">
        <f>LN(I12)-LN(I11)</f>
        <v>1.098677111032309E-2</v>
      </c>
    </row>
    <row r="12" spans="1:12" x14ac:dyDescent="0.5">
      <c r="A12" s="11">
        <v>19906</v>
      </c>
      <c r="B12" s="12">
        <v>1725.489</v>
      </c>
      <c r="C12" s="12">
        <v>2880.482</v>
      </c>
      <c r="D12" s="12">
        <v>13.574</v>
      </c>
      <c r="E12" s="13">
        <v>0.88</v>
      </c>
      <c r="F12" s="14">
        <v>108443</v>
      </c>
      <c r="G12" s="15">
        <f>LN(D13)-LN(D12)</f>
        <v>2.7220910683700694E-3</v>
      </c>
      <c r="H12" s="16">
        <f>C12*1000/F12</f>
        <v>26.562175520780503</v>
      </c>
      <c r="I12" s="16">
        <f>B12*1000/F12</f>
        <v>15.911483452136146</v>
      </c>
      <c r="J12" s="5">
        <f>(E12/400)-G12</f>
        <v>-5.2209106837006929E-4</v>
      </c>
      <c r="K12" s="5">
        <f>LN(H13)-LN(H12)</f>
        <v>1.6222657779426441E-2</v>
      </c>
      <c r="L12" s="5">
        <f>LN(I13)-LN(I12)</f>
        <v>1.7612505922600441E-2</v>
      </c>
    </row>
    <row r="13" spans="1:12" x14ac:dyDescent="0.5">
      <c r="A13" s="11">
        <v>19998</v>
      </c>
      <c r="B13" s="12">
        <v>1761.703</v>
      </c>
      <c r="C13" s="12">
        <v>2936.8519999999999</v>
      </c>
      <c r="D13" s="12">
        <v>13.611000000000001</v>
      </c>
      <c r="E13" s="13">
        <v>1.02</v>
      </c>
      <c r="F13" s="14">
        <v>108786</v>
      </c>
      <c r="G13" s="15">
        <f>LN(D14)-LN(D13)</f>
        <v>4.6910589581083961E-3</v>
      </c>
      <c r="H13" s="16">
        <f>C13*1000/F13</f>
        <v>26.996598827054953</v>
      </c>
      <c r="I13" s="16">
        <f>B13*1000/F13</f>
        <v>16.194206975162245</v>
      </c>
      <c r="J13" s="5">
        <f>(E13/400)-G13</f>
        <v>-2.1410589581083959E-3</v>
      </c>
      <c r="K13" s="5">
        <f>LN(H14)-LN(H13)</f>
        <v>2.500837890589569E-2</v>
      </c>
      <c r="L13" s="5">
        <f>LN(I14)-LN(I13)</f>
        <v>1.9032182742179771E-2</v>
      </c>
    </row>
    <row r="14" spans="1:12" x14ac:dyDescent="0.5">
      <c r="A14" s="11">
        <v>20090</v>
      </c>
      <c r="B14" s="12">
        <v>1801.231</v>
      </c>
      <c r="C14" s="12">
        <v>3020.7460000000001</v>
      </c>
      <c r="D14" s="12">
        <v>13.675000000000001</v>
      </c>
      <c r="E14" s="13">
        <v>1.22</v>
      </c>
      <c r="F14" s="14">
        <v>109130</v>
      </c>
      <c r="G14" s="15">
        <f>LN(D15)-LN(D14)</f>
        <v>4.0867020315697999E-3</v>
      </c>
      <c r="H14" s="16">
        <f>C14*1000/F14</f>
        <v>27.68025290937414</v>
      </c>
      <c r="I14" s="16">
        <f>B14*1000/F14</f>
        <v>16.505369742508936</v>
      </c>
      <c r="J14" s="5">
        <f>(E14/400)-G14</f>
        <v>-1.0367020315698002E-3</v>
      </c>
      <c r="K14" s="5">
        <f>LN(H15)-LN(H14)</f>
        <v>1.2449253239724456E-2</v>
      </c>
      <c r="L14" s="5">
        <f>LN(I15)-LN(I14)</f>
        <v>1.5280544485849035E-2</v>
      </c>
    </row>
    <row r="15" spans="1:12" x14ac:dyDescent="0.5">
      <c r="A15" s="11">
        <v>20180</v>
      </c>
      <c r="B15" s="12">
        <v>1835.7370000000001</v>
      </c>
      <c r="C15" s="12">
        <v>3069.91</v>
      </c>
      <c r="D15" s="12">
        <v>13.731</v>
      </c>
      <c r="E15" s="13">
        <v>1.48</v>
      </c>
      <c r="F15" s="14">
        <v>109534</v>
      </c>
      <c r="G15" s="15">
        <f>LN(D16)-LN(D15)</f>
        <v>6.9671520668661557E-3</v>
      </c>
      <c r="H15" s="16">
        <f>C15*1000/F15</f>
        <v>28.027005313418666</v>
      </c>
      <c r="I15" s="16">
        <f>B15*1000/F15</f>
        <v>16.759517592710939</v>
      </c>
      <c r="J15" s="5">
        <f>(E15/400)-G15</f>
        <v>-3.2671520668661556E-3</v>
      </c>
      <c r="K15" s="5">
        <f>LN(H16)-LN(H15)</f>
        <v>1.0227530496569326E-2</v>
      </c>
      <c r="L15" s="5">
        <f>LN(I16)-LN(I15)</f>
        <v>9.0855252067001402E-3</v>
      </c>
    </row>
    <row r="16" spans="1:12" x14ac:dyDescent="0.5">
      <c r="A16" s="11">
        <v>20271</v>
      </c>
      <c r="B16" s="12">
        <v>1858.4110000000001</v>
      </c>
      <c r="C16" s="12">
        <v>3111.3789999999999</v>
      </c>
      <c r="D16" s="12">
        <v>13.827</v>
      </c>
      <c r="E16" s="13">
        <v>1.86</v>
      </c>
      <c r="F16" s="14">
        <v>109884</v>
      </c>
      <c r="G16" s="15">
        <f>LN(D17)-LN(D16)</f>
        <v>9.8593868363088255E-3</v>
      </c>
      <c r="H16" s="16">
        <f>C16*1000/F16</f>
        <v>28.315123220851078</v>
      </c>
      <c r="I16" s="16">
        <f>B16*1000/F16</f>
        <v>16.912480433912126</v>
      </c>
      <c r="J16" s="5">
        <f>(E16/400)-G16</f>
        <v>-5.209386836308825E-3</v>
      </c>
      <c r="K16" s="5">
        <f>LN(H17)-LN(H16)</f>
        <v>3.2441102884082085E-3</v>
      </c>
      <c r="L16" s="5">
        <f>LN(I17)-LN(I16)</f>
        <v>9.7347275723396187E-3</v>
      </c>
    </row>
    <row r="17" spans="1:12" x14ac:dyDescent="0.5">
      <c r="A17" s="11">
        <v>20363</v>
      </c>
      <c r="B17" s="12">
        <v>1881.748</v>
      </c>
      <c r="C17" s="12">
        <v>3130.0680000000002</v>
      </c>
      <c r="D17" s="12">
        <v>13.964</v>
      </c>
      <c r="E17" s="13">
        <v>2.34</v>
      </c>
      <c r="F17" s="14">
        <v>110186</v>
      </c>
      <c r="G17" s="15">
        <f>LN(D18)-LN(D17)</f>
        <v>9.9758558527796026E-3</v>
      </c>
      <c r="H17" s="16">
        <f>C17*1000/F17</f>
        <v>28.407129762401755</v>
      </c>
      <c r="I17" s="16">
        <f>B17*1000/F17</f>
        <v>17.077922785108814</v>
      </c>
      <c r="J17" s="5">
        <f>(E17/400)-G17</f>
        <v>-4.1258558527796033E-3</v>
      </c>
      <c r="K17" s="5">
        <f>LN(H18)-LN(H17)</f>
        <v>-6.5797913313172529E-3</v>
      </c>
      <c r="L17" s="5">
        <f>LN(I18)-LN(I17)</f>
        <v>-1.0685808809145492E-3</v>
      </c>
    </row>
    <row r="18" spans="1:12" x14ac:dyDescent="0.5">
      <c r="A18" s="11">
        <v>20455</v>
      </c>
      <c r="B18" s="12">
        <v>1884.8050000000001</v>
      </c>
      <c r="C18" s="12">
        <v>3117.922</v>
      </c>
      <c r="D18" s="12">
        <v>14.103999999999999</v>
      </c>
      <c r="E18" s="13">
        <v>2.33</v>
      </c>
      <c r="F18" s="14">
        <v>110483</v>
      </c>
      <c r="G18" s="15">
        <f>LN(D19)-LN(D18)</f>
        <v>5.8676072342791485E-3</v>
      </c>
      <c r="H18" s="16">
        <f>C18*1000/F18</f>
        <v>28.220830353991111</v>
      </c>
      <c r="I18" s="16">
        <f>B18*1000/F18</f>
        <v>17.059683390204828</v>
      </c>
      <c r="J18" s="5">
        <f>(E18/400)-G18</f>
        <v>-4.2607234279148226E-5</v>
      </c>
      <c r="K18" s="5">
        <f>LN(H19)-LN(H18)</f>
        <v>5.4749850687887403E-3</v>
      </c>
      <c r="L18" s="5">
        <f>LN(I19)-LN(I18)</f>
        <v>5.6375214125026218E-4</v>
      </c>
    </row>
    <row r="19" spans="1:12" x14ac:dyDescent="0.5">
      <c r="A19" s="11">
        <v>20546</v>
      </c>
      <c r="B19" s="12">
        <v>1891.0740000000001</v>
      </c>
      <c r="C19" s="12">
        <v>3143.694</v>
      </c>
      <c r="D19" s="12">
        <v>14.186999999999999</v>
      </c>
      <c r="E19" s="13">
        <v>2.57</v>
      </c>
      <c r="F19" s="14">
        <v>110788</v>
      </c>
      <c r="G19" s="15">
        <f>LN(D20)-LN(D19)</f>
        <v>1.2468640101404471E-2</v>
      </c>
      <c r="H19" s="16">
        <f>C19*1000/F19</f>
        <v>28.375762717983896</v>
      </c>
      <c r="I19" s="16">
        <f>B19*1000/F19</f>
        <v>17.069303534678845</v>
      </c>
      <c r="J19" s="5">
        <f>(E19/400)-G19</f>
        <v>-6.0436401014044719E-3</v>
      </c>
      <c r="K19" s="5">
        <f>LN(H20)-LN(H19)</f>
        <v>-3.8266727498217357E-3</v>
      </c>
      <c r="L19" s="5">
        <f>LN(I20)-LN(I19)</f>
        <v>-6.7063989721294348E-4</v>
      </c>
    </row>
    <row r="20" spans="1:12" x14ac:dyDescent="0.5">
      <c r="A20" s="11">
        <v>20637</v>
      </c>
      <c r="B20" s="12">
        <v>1895.35</v>
      </c>
      <c r="C20" s="12">
        <v>3140.8739999999998</v>
      </c>
      <c r="D20" s="12">
        <v>14.365</v>
      </c>
      <c r="E20" s="13">
        <v>2.58</v>
      </c>
      <c r="F20" s="14">
        <v>111113</v>
      </c>
      <c r="G20" s="15">
        <f>LN(D21)-LN(D20)</f>
        <v>4.0294621701204569E-3</v>
      </c>
      <c r="H20" s="16">
        <f>C20*1000/F20</f>
        <v>28.267385454447275</v>
      </c>
      <c r="I20" s="16">
        <f>B20*1000/F20</f>
        <v>17.05786001637972</v>
      </c>
      <c r="J20" s="5">
        <f>(E20/400)-G20</f>
        <v>2.4205378298795431E-3</v>
      </c>
      <c r="K20" s="5">
        <f>LN(H21)-LN(H20)</f>
        <v>1.3467266174242987E-2</v>
      </c>
      <c r="L20" s="5">
        <f>LN(I21)-LN(I20)</f>
        <v>1.0833820190097487E-2</v>
      </c>
    </row>
    <row r="21" spans="1:12" x14ac:dyDescent="0.5">
      <c r="A21" s="11">
        <v>20729</v>
      </c>
      <c r="B21" s="12">
        <v>1921.479</v>
      </c>
      <c r="C21" s="12">
        <v>3192.57</v>
      </c>
      <c r="D21" s="12">
        <v>14.423</v>
      </c>
      <c r="E21" s="13">
        <v>3.03</v>
      </c>
      <c r="F21" s="14">
        <v>111431</v>
      </c>
      <c r="G21" s="15">
        <f>LN(D22)-LN(D21)</f>
        <v>1.3634696833927595E-2</v>
      </c>
      <c r="H21" s="16">
        <f>C21*1000/F21</f>
        <v>28.650644793639113</v>
      </c>
      <c r="I21" s="16">
        <f>B21*1000/F21</f>
        <v>17.243666484192012</v>
      </c>
      <c r="J21" s="5">
        <f>(E21/400)-G21</f>
        <v>-6.0596968339275961E-3</v>
      </c>
      <c r="K21" s="5">
        <f>LN(H22)-LN(H21)</f>
        <v>3.7920928310040125E-3</v>
      </c>
      <c r="L21" s="5">
        <f>LN(I22)-LN(I21)</f>
        <v>4.3408084234068944E-3</v>
      </c>
    </row>
    <row r="22" spans="1:12" x14ac:dyDescent="0.5">
      <c r="A22" s="11">
        <v>20821</v>
      </c>
      <c r="B22" s="12">
        <v>1934.8430000000001</v>
      </c>
      <c r="C22" s="12">
        <v>3213.011</v>
      </c>
      <c r="D22" s="12">
        <v>14.621</v>
      </c>
      <c r="E22" s="13">
        <v>3.1</v>
      </c>
      <c r="F22" s="14">
        <v>111720</v>
      </c>
      <c r="G22" s="15">
        <f>LN(D23)-LN(D22)</f>
        <v>6.9520454479707894E-3</v>
      </c>
      <c r="H22" s="16">
        <f>C22*1000/F22</f>
        <v>28.759496956677406</v>
      </c>
      <c r="I22" s="16">
        <f>B22*1000/F22</f>
        <v>17.318680630146794</v>
      </c>
      <c r="J22" s="5">
        <f>(E22/400)-G22</f>
        <v>7.9795455202921056E-4</v>
      </c>
      <c r="K22" s="5">
        <f>LN(H23)-LN(H22)</f>
        <v>-5.098642268850373E-3</v>
      </c>
      <c r="L22" s="5">
        <f>LN(I23)-LN(I22)</f>
        <v>-1.1630591109237365E-3</v>
      </c>
    </row>
    <row r="23" spans="1:12" x14ac:dyDescent="0.5">
      <c r="A23" s="11">
        <v>20911</v>
      </c>
      <c r="B23" s="12">
        <v>1938.2159999999999</v>
      </c>
      <c r="C23" s="12">
        <v>3205.97</v>
      </c>
      <c r="D23" s="12">
        <v>14.723000000000001</v>
      </c>
      <c r="E23" s="13">
        <v>3.14</v>
      </c>
      <c r="F23" s="14">
        <v>112045</v>
      </c>
      <c r="G23" s="15">
        <f>LN(D24)-LN(D23)</f>
        <v>5.9592510615638083E-3</v>
      </c>
      <c r="H23" s="16">
        <f>C23*1000/F23</f>
        <v>28.6132357534919</v>
      </c>
      <c r="I23" s="16">
        <f>B23*1000/F23</f>
        <v>17.298549689856753</v>
      </c>
      <c r="J23" s="5">
        <f>(E23/400)-G23</f>
        <v>1.8907489384361927E-3</v>
      </c>
      <c r="K23" s="5">
        <f>LN(H24)-LN(H23)</f>
        <v>6.312393531470839E-3</v>
      </c>
      <c r="L23" s="5">
        <f>LN(I24)-LN(I23)</f>
        <v>4.4319300372293036E-3</v>
      </c>
    </row>
    <row r="24" spans="1:12" x14ac:dyDescent="0.5">
      <c r="A24" s="11">
        <v>21002</v>
      </c>
      <c r="B24" s="12">
        <v>1953.5319999999999</v>
      </c>
      <c r="C24" s="12">
        <v>3237.386</v>
      </c>
      <c r="D24" s="12">
        <v>14.811</v>
      </c>
      <c r="E24" s="13">
        <v>3.35</v>
      </c>
      <c r="F24" s="14">
        <v>112431</v>
      </c>
      <c r="G24" s="15">
        <f>LN(D25)-LN(D24)</f>
        <v>6.7494602994244701E-4</v>
      </c>
      <c r="H24" s="16">
        <f>C24*1000/F24</f>
        <v>28.794425025126522</v>
      </c>
      <c r="I24" s="16">
        <f>B24*1000/F24</f>
        <v>17.375385792174757</v>
      </c>
      <c r="J24" s="5">
        <f>(E24/400)-G24</f>
        <v>7.7000539700575535E-3</v>
      </c>
      <c r="K24" s="5">
        <f>LN(H25)-LN(H24)</f>
        <v>-1.4260843230709419E-2</v>
      </c>
      <c r="L24" s="5">
        <f>LN(I25)-LN(I24)</f>
        <v>-3.4449798108089347E-3</v>
      </c>
    </row>
    <row r="25" spans="1:12" x14ac:dyDescent="0.5">
      <c r="A25" s="11">
        <v>21094</v>
      </c>
      <c r="B25" s="12">
        <v>1954.346</v>
      </c>
      <c r="C25" s="12">
        <v>3203.8939999999998</v>
      </c>
      <c r="D25" s="12">
        <v>14.821</v>
      </c>
      <c r="E25" s="13">
        <v>3.31</v>
      </c>
      <c r="F25" s="14">
        <v>112866</v>
      </c>
      <c r="G25" s="15">
        <f>LN(D26)-LN(D25)</f>
        <v>1.0804386550913314E-2</v>
      </c>
      <c r="H25" s="16">
        <f>C25*1000/F25</f>
        <v>28.386706359754044</v>
      </c>
      <c r="I25" s="16">
        <f>B25*1000/F25</f>
        <v>17.315630925167898</v>
      </c>
      <c r="J25" s="5">
        <f>(E25/400)-G25</f>
        <v>-2.5293865509133148E-3</v>
      </c>
      <c r="K25" s="5">
        <f>LN(H26)-LN(H25)</f>
        <v>-2.9574780903219633E-2</v>
      </c>
      <c r="L25" s="5">
        <f>LN(I26)-LN(I25)</f>
        <v>-1.7203743232848012E-2</v>
      </c>
    </row>
    <row r="26" spans="1:12" x14ac:dyDescent="0.5">
      <c r="A26" s="11">
        <v>21186</v>
      </c>
      <c r="B26" s="12">
        <v>1927.309</v>
      </c>
      <c r="C26" s="12">
        <v>3120.7240000000002</v>
      </c>
      <c r="D26" s="12">
        <v>14.981999999999999</v>
      </c>
      <c r="E26" s="13">
        <v>1.76</v>
      </c>
      <c r="F26" s="14">
        <v>113236</v>
      </c>
      <c r="G26" s="15">
        <f>LN(D27)-LN(D26)</f>
        <v>2.865999895580007E-3</v>
      </c>
      <c r="H26" s="16">
        <f>C26*1000/F26</f>
        <v>27.559468720194992</v>
      </c>
      <c r="I26" s="16">
        <f>B26*1000/F26</f>
        <v>17.02028506835282</v>
      </c>
      <c r="J26" s="5">
        <f>(E26/400)-G26</f>
        <v>1.5340001044199933E-3</v>
      </c>
      <c r="K26" s="5">
        <f>LN(H27)-LN(H26)</f>
        <v>3.9369076000590475E-3</v>
      </c>
      <c r="L26" s="5">
        <f>LN(I27)-LN(I26)</f>
        <v>5.6228983538759714E-3</v>
      </c>
    </row>
    <row r="27" spans="1:12" x14ac:dyDescent="0.5">
      <c r="A27" s="11">
        <v>21276</v>
      </c>
      <c r="B27" s="12">
        <v>1943.2429999999999</v>
      </c>
      <c r="C27" s="12">
        <v>3141.2240000000002</v>
      </c>
      <c r="D27" s="12">
        <v>15.025</v>
      </c>
      <c r="E27" s="13">
        <v>0.96</v>
      </c>
      <c r="F27" s="14">
        <v>113532</v>
      </c>
      <c r="G27" s="15">
        <f>LN(D28)-LN(D27)</f>
        <v>6.1044579452995684E-3</v>
      </c>
      <c r="H27" s="16">
        <f>C27*1000/F27</f>
        <v>27.66818165803474</v>
      </c>
      <c r="I27" s="16">
        <f>B27*1000/F27</f>
        <v>17.116257971320859</v>
      </c>
      <c r="J27" s="5">
        <f>(E27/400)-G27</f>
        <v>-3.7044579452995686E-3</v>
      </c>
      <c r="K27" s="5">
        <f>LN(H28)-LN(H27)</f>
        <v>2.0105719251255927E-2</v>
      </c>
      <c r="L27" s="5">
        <f>LN(I28)-LN(I27)</f>
        <v>1.3693282278152807E-2</v>
      </c>
    </row>
    <row r="28" spans="1:12" x14ac:dyDescent="0.5">
      <c r="A28" s="11">
        <v>21367</v>
      </c>
      <c r="B28" s="12">
        <v>1975.4839999999999</v>
      </c>
      <c r="C28" s="12">
        <v>3213.884</v>
      </c>
      <c r="D28" s="12">
        <v>15.117000000000001</v>
      </c>
      <c r="E28" s="13">
        <v>1.68</v>
      </c>
      <c r="F28" s="14">
        <v>113846</v>
      </c>
      <c r="G28" s="15">
        <f>LN(D29)-LN(D28)</f>
        <v>4.7515432893110443E-3</v>
      </c>
      <c r="H28" s="16">
        <f>C28*1000/F28</f>
        <v>28.230100310946366</v>
      </c>
      <c r="I28" s="16">
        <f>B28*1000/F28</f>
        <v>17.352247773307802</v>
      </c>
      <c r="J28" s="5">
        <f>(E28/400)-G28</f>
        <v>-5.5154328931104456E-4</v>
      </c>
      <c r="K28" s="5">
        <f>LN(H29)-LN(H28)</f>
        <v>1.9281951607494907E-2</v>
      </c>
      <c r="L28" s="5">
        <f>LN(I29)-LN(I28)</f>
        <v>9.6609074306091003E-3</v>
      </c>
    </row>
    <row r="29" spans="1:12" x14ac:dyDescent="0.5">
      <c r="A29" s="11">
        <v>21459</v>
      </c>
      <c r="B29" s="12">
        <v>2002.318</v>
      </c>
      <c r="C29" s="12">
        <v>3289.0320000000002</v>
      </c>
      <c r="D29" s="12">
        <v>15.189</v>
      </c>
      <c r="E29" s="13">
        <v>2.69</v>
      </c>
      <c r="F29" s="14">
        <v>114283</v>
      </c>
      <c r="G29" s="15">
        <f>LN(D30)-LN(D29)</f>
        <v>2.3016483379665331E-3</v>
      </c>
      <c r="H29" s="16">
        <f>C29*1000/F29</f>
        <v>28.779713518196058</v>
      </c>
      <c r="I29" s="16">
        <f>B29*1000/F29</f>
        <v>17.520698616592146</v>
      </c>
      <c r="J29" s="5">
        <f>(E29/400)-G29</f>
        <v>4.423351662033467E-3</v>
      </c>
      <c r="K29" s="5">
        <f>LN(H30)-LN(H29)</f>
        <v>1.52381239078343E-2</v>
      </c>
      <c r="L29" s="5">
        <f>LN(I30)-LN(I29)</f>
        <v>1.4398073642174047E-2</v>
      </c>
    </row>
    <row r="30" spans="1:12" x14ac:dyDescent="0.5">
      <c r="A30" s="11">
        <v>21551</v>
      </c>
      <c r="B30" s="12">
        <v>2039.0170000000001</v>
      </c>
      <c r="C30" s="12">
        <v>3352.1289999999999</v>
      </c>
      <c r="D30" s="12">
        <v>15.224</v>
      </c>
      <c r="E30" s="13">
        <v>2.77</v>
      </c>
      <c r="F30" s="14">
        <v>114714</v>
      </c>
      <c r="G30" s="15">
        <f>LN(D31)-LN(D30)</f>
        <v>1.5752169179976683E-3</v>
      </c>
      <c r="H30" s="16">
        <f>C30*1000/F30</f>
        <v>29.221620726328087</v>
      </c>
      <c r="I30" s="16">
        <f>B30*1000/F30</f>
        <v>17.774787732970694</v>
      </c>
      <c r="J30" s="5">
        <f>(E30/400)-G30</f>
        <v>5.3497830820023315E-3</v>
      </c>
      <c r="K30" s="5">
        <f>LN(H31)-LN(H30)</f>
        <v>1.8586168558030636E-2</v>
      </c>
      <c r="L30" s="5">
        <f>LN(I31)-LN(I30)</f>
        <v>1.1628138916575992E-2</v>
      </c>
    </row>
    <row r="31" spans="1:12" x14ac:dyDescent="0.5">
      <c r="A31" s="11">
        <v>21641</v>
      </c>
      <c r="B31" s="12">
        <v>2070.5079999999998</v>
      </c>
      <c r="C31" s="12">
        <v>3427.6669999999999</v>
      </c>
      <c r="D31" s="12">
        <v>15.247999999999999</v>
      </c>
      <c r="E31" s="13">
        <v>3</v>
      </c>
      <c r="F31" s="14">
        <v>115139</v>
      </c>
      <c r="G31" s="15">
        <f>LN(D32)-LN(D31)</f>
        <v>3.8618931977238979E-3</v>
      </c>
      <c r="H31" s="16">
        <f>C31*1000/F31</f>
        <v>29.769817351201592</v>
      </c>
      <c r="I31" s="16">
        <f>B31*1000/F31</f>
        <v>17.982681801995845</v>
      </c>
      <c r="J31" s="5">
        <f>(E31/400)-G31</f>
        <v>3.6381068022761018E-3</v>
      </c>
      <c r="K31" s="5">
        <f>LN(H32)-LN(H31)</f>
        <v>-2.8748725255045571E-3</v>
      </c>
      <c r="L31" s="5">
        <f>LN(I32)-LN(I31)</f>
        <v>6.8206249989306578E-3</v>
      </c>
    </row>
    <row r="32" spans="1:12" x14ac:dyDescent="0.5">
      <c r="A32" s="11">
        <v>21732</v>
      </c>
      <c r="B32" s="12">
        <v>2092.1379999999999</v>
      </c>
      <c r="C32" s="12">
        <v>3430.0569999999998</v>
      </c>
      <c r="D32" s="12">
        <v>15.307</v>
      </c>
      <c r="E32" s="13">
        <v>3.54</v>
      </c>
      <c r="F32" s="14">
        <v>115551</v>
      </c>
      <c r="G32" s="15">
        <f>LN(D33)-LN(D32)</f>
        <v>3.9121129636252583E-3</v>
      </c>
      <c r="H32" s="16">
        <f>C32*1000/F32</f>
        <v>29.6843558255662</v>
      </c>
      <c r="I32" s="16">
        <f>B32*1000/F32</f>
        <v>18.105754169154746</v>
      </c>
      <c r="J32" s="5">
        <f>(E32/400)-G32</f>
        <v>4.9378870363747419E-3</v>
      </c>
      <c r="K32" s="5">
        <f>LN(H33)-LN(H32)</f>
        <v>-3.2529977244077912E-4</v>
      </c>
      <c r="L32" s="5">
        <f>LN(I33)-LN(I32)</f>
        <v>-2.0450890529959409E-3</v>
      </c>
    </row>
    <row r="33" spans="1:12" x14ac:dyDescent="0.5">
      <c r="A33" s="11">
        <v>21824</v>
      </c>
      <c r="B33" s="12">
        <v>2094.4949999999999</v>
      </c>
      <c r="C33" s="12">
        <v>3439.8319999999999</v>
      </c>
      <c r="D33" s="12">
        <v>15.367000000000001</v>
      </c>
      <c r="E33" s="13">
        <v>4.2300000000000004</v>
      </c>
      <c r="F33" s="14">
        <v>115918</v>
      </c>
      <c r="G33" s="15">
        <f>LN(D34)-LN(D33)</f>
        <v>3.9616872727861185E-3</v>
      </c>
      <c r="H33" s="16">
        <f>C33*1000/F33</f>
        <v>29.674701081799203</v>
      </c>
      <c r="I33" s="16">
        <f>B33*1000/F33</f>
        <v>18.068764126365188</v>
      </c>
      <c r="J33" s="5">
        <f>(E33/400)-G33</f>
        <v>6.6133127272138825E-3</v>
      </c>
      <c r="K33" s="5">
        <f>LN(H34)-LN(H33)</f>
        <v>1.5445139300545918E-2</v>
      </c>
      <c r="L33" s="5">
        <f>LN(I34)-LN(I33)</f>
        <v>2.7289930198923784E-3</v>
      </c>
    </row>
    <row r="34" spans="1:12" x14ac:dyDescent="0.5">
      <c r="A34" s="11">
        <v>21916</v>
      </c>
      <c r="B34" s="12">
        <v>2114.5320000000002</v>
      </c>
      <c r="C34" s="12">
        <v>3517.181</v>
      </c>
      <c r="D34" s="12">
        <v>15.428000000000001</v>
      </c>
      <c r="E34" s="13">
        <v>3.87</v>
      </c>
      <c r="F34" s="14">
        <v>116708</v>
      </c>
      <c r="G34" s="15">
        <f>LN(D35)-LN(D34)</f>
        <v>2.5246817100215146E-3</v>
      </c>
      <c r="H34" s="16">
        <f>C34*1000/F34</f>
        <v>30.136588751413786</v>
      </c>
      <c r="I34" s="16">
        <f>B34*1000/F34</f>
        <v>18.118141001473763</v>
      </c>
      <c r="J34" s="5">
        <f>(E34/400)-G34</f>
        <v>7.1503182899784849E-3</v>
      </c>
      <c r="K34" s="5">
        <f>LN(H35)-LN(H34)</f>
        <v>-8.2131517952186428E-3</v>
      </c>
      <c r="L34" s="5">
        <f>LN(I35)-LN(I34)</f>
        <v>9.7202079207070469E-3</v>
      </c>
    </row>
    <row r="35" spans="1:12" x14ac:dyDescent="0.5">
      <c r="A35" s="11">
        <v>22007</v>
      </c>
      <c r="B35" s="12">
        <v>2141.2049999999999</v>
      </c>
      <c r="C35" s="12">
        <v>3498.2460000000001</v>
      </c>
      <c r="D35" s="12">
        <v>15.467000000000001</v>
      </c>
      <c r="E35" s="13">
        <v>2.99</v>
      </c>
      <c r="F35" s="14">
        <v>117037</v>
      </c>
      <c r="G35" s="15">
        <f>LN(D36)-LN(D35)</f>
        <v>3.4207926990696969E-3</v>
      </c>
      <c r="H35" s="16">
        <f>C35*1000/F35</f>
        <v>29.890086041166469</v>
      </c>
      <c r="I35" s="16">
        <f>B35*1000/F35</f>
        <v>18.29511180225057</v>
      </c>
      <c r="J35" s="5">
        <f>(E35/400)-G35</f>
        <v>4.0542073009303039E-3</v>
      </c>
      <c r="K35" s="5">
        <f>LN(H36)-LN(H35)</f>
        <v>1.6968741765830408E-3</v>
      </c>
      <c r="L35" s="5">
        <f>LN(I36)-LN(I35)</f>
        <v>-7.1957680366128152E-3</v>
      </c>
    </row>
    <row r="36" spans="1:12" x14ac:dyDescent="0.5">
      <c r="A36" s="11">
        <v>22098</v>
      </c>
      <c r="B36" s="12">
        <v>2132.6460000000002</v>
      </c>
      <c r="C36" s="12">
        <v>3515.3850000000002</v>
      </c>
      <c r="D36" s="12">
        <v>15.52</v>
      </c>
      <c r="E36" s="13">
        <v>2.36</v>
      </c>
      <c r="F36" s="14">
        <v>117411</v>
      </c>
      <c r="G36" s="15">
        <f>LN(D37)-LN(D36)</f>
        <v>2.9595337821239909E-3</v>
      </c>
      <c r="H36" s="16">
        <f>C36*1000/F36</f>
        <v>29.940848813143571</v>
      </c>
      <c r="I36" s="16">
        <f>B36*1000/F36</f>
        <v>18.163936939469046</v>
      </c>
      <c r="J36" s="5">
        <f>(E36/400)-G36</f>
        <v>2.940466217876009E-3</v>
      </c>
      <c r="K36" s="5">
        <f>LN(H37)-LN(H36)</f>
        <v>-1.6425729667001843E-2</v>
      </c>
      <c r="L36" s="5">
        <f>LN(I37)-LN(I36)</f>
        <v>-2.2171190009037112E-3</v>
      </c>
    </row>
    <row r="37" spans="1:12" x14ac:dyDescent="0.5">
      <c r="A37" s="11">
        <v>22190</v>
      </c>
      <c r="B37" s="12">
        <v>2135.4079999999999</v>
      </c>
      <c r="C37" s="12">
        <v>3470.2779999999998</v>
      </c>
      <c r="D37" s="12">
        <v>15.566000000000001</v>
      </c>
      <c r="E37" s="13">
        <v>2.31</v>
      </c>
      <c r="F37" s="14">
        <v>117824</v>
      </c>
      <c r="G37" s="15">
        <f>LN(D38)-LN(D37)</f>
        <v>2.1818657182945955E-3</v>
      </c>
      <c r="H37" s="16">
        <f>C37*1000/F37</f>
        <v>29.453065589353614</v>
      </c>
      <c r="I37" s="16">
        <f>B37*1000/F37</f>
        <v>18.123709940249864</v>
      </c>
      <c r="J37" s="5">
        <f>(E37/400)-G37</f>
        <v>3.5931342817054042E-3</v>
      </c>
      <c r="K37" s="5">
        <f>LN(H38)-LN(H37)</f>
        <v>3.0846313855819041E-3</v>
      </c>
      <c r="L37" s="5">
        <f>LN(I38)-LN(I37)</f>
        <v>-4.0142944028400684E-3</v>
      </c>
    </row>
    <row r="38" spans="1:12" x14ac:dyDescent="0.5">
      <c r="A38" s="11">
        <v>22282</v>
      </c>
      <c r="B38" s="12">
        <v>2134.6149999999998</v>
      </c>
      <c r="C38" s="12">
        <v>3493.703</v>
      </c>
      <c r="D38" s="12">
        <v>15.6</v>
      </c>
      <c r="E38" s="13">
        <v>2.35</v>
      </c>
      <c r="F38" s="14">
        <v>118254</v>
      </c>
      <c r="G38" s="15">
        <f>LN(D39)-LN(D38)</f>
        <v>2.3050336752170608E-3</v>
      </c>
      <c r="H38" s="16">
        <f>C38*1000/F38</f>
        <v>29.544057706293234</v>
      </c>
      <c r="I38" s="16">
        <f>B38*1000/F38</f>
        <v>18.05110186547601</v>
      </c>
      <c r="J38" s="5">
        <f>(E38/400)-G38</f>
        <v>3.5699663247829392E-3</v>
      </c>
      <c r="K38" s="5">
        <f>LN(H39)-LN(H38)</f>
        <v>1.3610893901512267E-2</v>
      </c>
      <c r="L38" s="5">
        <f>LN(I39)-LN(I38)</f>
        <v>1.1547064054458378E-2</v>
      </c>
    </row>
    <row r="39" spans="1:12" x14ac:dyDescent="0.5">
      <c r="A39" s="11">
        <v>22372</v>
      </c>
      <c r="B39" s="12">
        <v>2166.3820000000001</v>
      </c>
      <c r="C39" s="12">
        <v>3553.0210000000002</v>
      </c>
      <c r="D39" s="12">
        <v>15.635999999999999</v>
      </c>
      <c r="E39" s="13">
        <v>2.2999999999999998</v>
      </c>
      <c r="F39" s="14">
        <v>118636</v>
      </c>
      <c r="G39" s="15">
        <f>LN(D40)-LN(D39)</f>
        <v>2.5549324066767021E-3</v>
      </c>
      <c r="H39" s="16">
        <f>C39*1000/F39</f>
        <v>29.948927812805557</v>
      </c>
      <c r="I39" s="16">
        <f>B39*1000/F39</f>
        <v>18.260747159378266</v>
      </c>
      <c r="J39" s="5">
        <f>(E39/400)-G39</f>
        <v>3.1950675933232978E-3</v>
      </c>
      <c r="K39" s="5">
        <f>LN(H40)-LN(H39)</f>
        <v>1.5949680259215171E-2</v>
      </c>
      <c r="L39" s="5">
        <f>LN(I40)-LN(I39)</f>
        <v>1.7787866946563646E-3</v>
      </c>
    </row>
    <row r="40" spans="1:12" x14ac:dyDescent="0.5">
      <c r="A40" s="11">
        <v>22463</v>
      </c>
      <c r="B40" s="12">
        <v>2176.9160000000002</v>
      </c>
      <c r="C40" s="12">
        <v>3621.252</v>
      </c>
      <c r="D40" s="12">
        <v>15.676</v>
      </c>
      <c r="E40" s="13">
        <v>2.2999999999999998</v>
      </c>
      <c r="F40" s="14">
        <v>119001</v>
      </c>
      <c r="G40" s="15">
        <f>LN(D41)-LN(D40)</f>
        <v>3.1209222491193067E-3</v>
      </c>
      <c r="H40" s="16">
        <f>C40*1000/F40</f>
        <v>30.430433357702878</v>
      </c>
      <c r="I40" s="16">
        <f>B40*1000/F40</f>
        <v>18.293258039848403</v>
      </c>
      <c r="J40" s="5">
        <f>(E40/400)-G40</f>
        <v>2.6290777508806932E-3</v>
      </c>
      <c r="K40" s="5">
        <f>LN(H41)-LN(H40)</f>
        <v>1.7839806479739817E-2</v>
      </c>
      <c r="L40" s="5">
        <f>LN(I41)-LN(I40)</f>
        <v>1.8328104374269572E-2</v>
      </c>
    </row>
    <row r="41" spans="1:12" x14ac:dyDescent="0.5">
      <c r="A41" s="11">
        <v>22555</v>
      </c>
      <c r="B41" s="12">
        <v>2220.7040000000002</v>
      </c>
      <c r="C41" s="12">
        <v>3692.2890000000002</v>
      </c>
      <c r="D41" s="12">
        <v>15.725</v>
      </c>
      <c r="E41" s="13">
        <v>2.46</v>
      </c>
      <c r="F41" s="14">
        <v>119190</v>
      </c>
      <c r="G41" s="15">
        <f>LN(D42)-LN(D41)</f>
        <v>5.1378121962790679E-3</v>
      </c>
      <c r="H41" s="16">
        <f>C41*1000/F41</f>
        <v>30.978177699471431</v>
      </c>
      <c r="I41" s="16">
        <f>B41*1000/F41</f>
        <v>18.631630170316303</v>
      </c>
      <c r="J41" s="5">
        <f>(E41/400)-G41</f>
        <v>1.0121878037209322E-3</v>
      </c>
      <c r="K41" s="5">
        <f>LN(H42)-LN(H41)</f>
        <v>1.609497824575401E-2</v>
      </c>
      <c r="L41" s="5">
        <f>LN(I42)-LN(I41)</f>
        <v>8.9524308609312264E-3</v>
      </c>
    </row>
    <row r="42" spans="1:12" x14ac:dyDescent="0.5">
      <c r="A42" s="11">
        <v>22647</v>
      </c>
      <c r="B42" s="12">
        <v>2244.2269999999999</v>
      </c>
      <c r="C42" s="12">
        <v>3758.1469999999999</v>
      </c>
      <c r="D42" s="12">
        <v>15.805999999999999</v>
      </c>
      <c r="E42" s="13">
        <v>2.72</v>
      </c>
      <c r="F42" s="14">
        <v>119379</v>
      </c>
      <c r="G42" s="15">
        <f>LN(D43)-LN(D42)</f>
        <v>1.6435935174814453E-3</v>
      </c>
      <c r="H42" s="16">
        <f>C42*1000/F42</f>
        <v>31.480804831670561</v>
      </c>
      <c r="I42" s="16">
        <f>B42*1000/F42</f>
        <v>18.799177409762187</v>
      </c>
      <c r="J42" s="5">
        <f>(E42/400)-G42</f>
        <v>5.1564064825185552E-3</v>
      </c>
      <c r="K42" s="5">
        <f>LN(H43)-LN(H42)</f>
        <v>5.3278954162441217E-3</v>
      </c>
      <c r="L42" s="5">
        <f>LN(I43)-LN(I42)</f>
        <v>8.5398459748176059E-3</v>
      </c>
    </row>
    <row r="43" spans="1:12" x14ac:dyDescent="0.5">
      <c r="A43" s="11">
        <v>22737</v>
      </c>
      <c r="B43" s="12">
        <v>2271.817</v>
      </c>
      <c r="C43" s="12">
        <v>3792.1489999999999</v>
      </c>
      <c r="D43" s="12">
        <v>15.832000000000001</v>
      </c>
      <c r="E43" s="13">
        <v>2.72</v>
      </c>
      <c r="F43" s="14">
        <v>119819</v>
      </c>
      <c r="G43" s="15">
        <f>LN(D44)-LN(D43)</f>
        <v>2.0822167348941711E-3</v>
      </c>
      <c r="H43" s="16">
        <f>C43*1000/F43</f>
        <v>31.648978876472011</v>
      </c>
      <c r="I43" s="16">
        <f>B43*1000/F43</f>
        <v>18.960406947145277</v>
      </c>
      <c r="J43" s="5">
        <f>(E43/400)-G43</f>
        <v>4.7177832651058293E-3</v>
      </c>
      <c r="K43" s="5">
        <f>LN(H44)-LN(H43)</f>
        <v>7.6492428692702674E-3</v>
      </c>
      <c r="L43" s="5">
        <f>LN(I44)-LN(I43)</f>
        <v>3.4554399972668293E-3</v>
      </c>
    </row>
    <row r="44" spans="1:12" x14ac:dyDescent="0.5">
      <c r="A44" s="11">
        <v>22828</v>
      </c>
      <c r="B44" s="12">
        <v>2290.1260000000002</v>
      </c>
      <c r="C44" s="12">
        <v>3838.7759999999998</v>
      </c>
      <c r="D44" s="12">
        <v>15.865</v>
      </c>
      <c r="E44" s="13">
        <v>2.84</v>
      </c>
      <c r="F44" s="14">
        <v>120368</v>
      </c>
      <c r="G44" s="15">
        <f>LN(D45)-LN(D44)</f>
        <v>2.0778901157618712E-3</v>
      </c>
      <c r="H44" s="16">
        <f>C44*1000/F44</f>
        <v>31.891997873188888</v>
      </c>
      <c r="I44" s="16">
        <f>B44*1000/F44</f>
        <v>19.026036820417385</v>
      </c>
      <c r="J44" s="5">
        <f>(E44/400)-G44</f>
        <v>5.0221098842381283E-3</v>
      </c>
      <c r="K44" s="5">
        <f>LN(H45)-LN(H44)</f>
        <v>-2.3283165001841688E-3</v>
      </c>
      <c r="L44" s="5">
        <f>LN(I45)-LN(I44)</f>
        <v>8.4333490274279832E-3</v>
      </c>
    </row>
    <row r="45" spans="1:12" x14ac:dyDescent="0.5">
      <c r="A45" s="11">
        <v>22920</v>
      </c>
      <c r="B45" s="12">
        <v>2322.5300000000002</v>
      </c>
      <c r="C45" s="12">
        <v>3851.4209999999998</v>
      </c>
      <c r="D45" s="12">
        <v>15.898</v>
      </c>
      <c r="E45" s="13">
        <v>2.81</v>
      </c>
      <c r="F45" s="14">
        <v>121046</v>
      </c>
      <c r="G45" s="15">
        <f>LN(D46)-LN(D45)</f>
        <v>4.3307772066434325E-3</v>
      </c>
      <c r="H45" s="16">
        <f>C45*1000/F45</f>
        <v>31.817829585446855</v>
      </c>
      <c r="I45" s="16">
        <f>B45*1000/F45</f>
        <v>19.187168514449052</v>
      </c>
      <c r="J45" s="5">
        <f>(E45/400)-G45</f>
        <v>2.6942227933565675E-3</v>
      </c>
      <c r="K45" s="5">
        <f>LN(H46)-LN(H45)</f>
        <v>5.9664776552814658E-3</v>
      </c>
      <c r="L45" s="5">
        <f>LN(I46)-LN(I45)</f>
        <v>2.0852168443030727E-3</v>
      </c>
    </row>
    <row r="46" spans="1:12" x14ac:dyDescent="0.5">
      <c r="A46" s="11">
        <v>23012</v>
      </c>
      <c r="B46" s="12">
        <v>2338.799</v>
      </c>
      <c r="C46" s="12">
        <v>3893.482</v>
      </c>
      <c r="D46" s="12">
        <v>15.967000000000001</v>
      </c>
      <c r="E46" s="13">
        <v>2.91</v>
      </c>
      <c r="F46" s="14">
        <v>121640</v>
      </c>
      <c r="G46" s="15">
        <f>LN(D47)-LN(D46)</f>
        <v>1.7520810439171086E-3</v>
      </c>
      <c r="H46" s="16">
        <f>C46*1000/F46</f>
        <v>32.008237421900688</v>
      </c>
      <c r="I46" s="16">
        <f>B46*1000/F46</f>
        <v>19.22721966458402</v>
      </c>
      <c r="J46" s="5">
        <f>(E46/400)-G46</f>
        <v>5.5229189560828916E-3</v>
      </c>
      <c r="K46" s="5">
        <f>LN(H47)-LN(H46)</f>
        <v>6.8385216811828187E-3</v>
      </c>
      <c r="L46" s="5">
        <f>LN(I47)-LN(I46)</f>
        <v>5.0691234917663586E-3</v>
      </c>
    </row>
    <row r="47" spans="1:12" x14ac:dyDescent="0.5">
      <c r="A47" s="11">
        <v>23102</v>
      </c>
      <c r="B47" s="12">
        <v>2360.8690000000001</v>
      </c>
      <c r="C47" s="12">
        <v>3937.183</v>
      </c>
      <c r="D47" s="12">
        <v>15.994999999999999</v>
      </c>
      <c r="E47" s="13">
        <v>2.94</v>
      </c>
      <c r="F47" s="14">
        <v>122167</v>
      </c>
      <c r="G47" s="15">
        <f>LN(D48)-LN(D47)</f>
        <v>1.3120491713833893E-3</v>
      </c>
      <c r="H47" s="16">
        <f>C47*1000/F47</f>
        <v>32.227876595152537</v>
      </c>
      <c r="I47" s="16">
        <f>B47*1000/F47</f>
        <v>19.324932264850574</v>
      </c>
      <c r="J47" s="5">
        <f>(E47/400)-G47</f>
        <v>6.0379508286166105E-3</v>
      </c>
      <c r="K47" s="5">
        <f>LN(H48)-LN(H47)</f>
        <v>1.7641191400909584E-2</v>
      </c>
      <c r="L47" s="5">
        <f>LN(I48)-LN(I47)</f>
        <v>9.3657144130281367E-3</v>
      </c>
    </row>
    <row r="48" spans="1:12" x14ac:dyDescent="0.5">
      <c r="A48" s="11">
        <v>23193</v>
      </c>
      <c r="B48" s="12">
        <v>2392.8960000000002</v>
      </c>
      <c r="C48" s="12">
        <v>4023.7550000000001</v>
      </c>
      <c r="D48" s="12">
        <v>16.015999999999998</v>
      </c>
      <c r="E48" s="13">
        <v>3.29</v>
      </c>
      <c r="F48" s="14">
        <v>122670</v>
      </c>
      <c r="G48" s="15">
        <f>LN(D49)-LN(D48)</f>
        <v>8.0841183999589283E-3</v>
      </c>
      <c r="H48" s="16">
        <f>C48*1000/F48</f>
        <v>32.801459199478273</v>
      </c>
      <c r="I48" s="16">
        <f>B48*1000/F48</f>
        <v>19.50677427243825</v>
      </c>
      <c r="J48" s="5">
        <f>(E48/400)-G48</f>
        <v>1.4088160004107134E-4</v>
      </c>
      <c r="K48" s="5">
        <f>LN(H49)-LN(H48)</f>
        <v>2.3156921497418104E-3</v>
      </c>
      <c r="L48" s="5">
        <f>LN(I49)-LN(I48)</f>
        <v>4.0765329004441853E-3</v>
      </c>
    </row>
    <row r="49" spans="1:12" x14ac:dyDescent="0.5">
      <c r="A49" s="11">
        <v>23285</v>
      </c>
      <c r="B49" s="12">
        <v>2412.8359999999998</v>
      </c>
      <c r="C49" s="12">
        <v>4050.1469999999999</v>
      </c>
      <c r="D49" s="12">
        <v>16.146000000000001</v>
      </c>
      <c r="E49" s="13">
        <v>3.5</v>
      </c>
      <c r="F49" s="14">
        <v>123189</v>
      </c>
      <c r="G49" s="15">
        <f>LN(D50)-LN(D49)</f>
        <v>3.153698931436022E-3</v>
      </c>
      <c r="H49" s="16">
        <f>C49*1000/F49</f>
        <v>32.877505296739159</v>
      </c>
      <c r="I49" s="16">
        <f>B49*1000/F49</f>
        <v>19.58645658297413</v>
      </c>
      <c r="J49" s="5">
        <f>(E49/400)-G49</f>
        <v>5.5963010685639789E-3</v>
      </c>
      <c r="K49" s="5">
        <f>LN(H50)-LN(H49)</f>
        <v>1.6663690670983833E-2</v>
      </c>
      <c r="L49" s="5">
        <f>LN(I50)-LN(I49)</f>
        <v>1.5231981558772922E-2</v>
      </c>
    </row>
    <row r="50" spans="1:12" x14ac:dyDescent="0.5">
      <c r="A50" s="11">
        <v>23377</v>
      </c>
      <c r="B50" s="12">
        <v>2460.1909999999998</v>
      </c>
      <c r="C50" s="12">
        <v>4135.5529999999999</v>
      </c>
      <c r="D50" s="12">
        <v>16.196999999999999</v>
      </c>
      <c r="E50" s="13">
        <v>3.53</v>
      </c>
      <c r="F50" s="14">
        <v>123708</v>
      </c>
      <c r="G50" s="15">
        <f>LN(D51)-LN(D50)</f>
        <v>2.2817684347242739E-3</v>
      </c>
      <c r="H50" s="16">
        <f>C50*1000/F50</f>
        <v>33.429956025479356</v>
      </c>
      <c r="I50" s="16">
        <f>B50*1000/F50</f>
        <v>19.887080867850099</v>
      </c>
      <c r="J50" s="5">
        <f>(E50/400)-G50</f>
        <v>6.5432315652757256E-3</v>
      </c>
      <c r="K50" s="5">
        <f>LN(H51)-LN(H50)</f>
        <v>6.8384334776565581E-3</v>
      </c>
      <c r="L50" s="5">
        <f>LN(I51)-LN(I50)</f>
        <v>1.3540869325493698E-2</v>
      </c>
    </row>
    <row r="51" spans="1:12" x14ac:dyDescent="0.5">
      <c r="A51" s="11">
        <v>23468</v>
      </c>
      <c r="B51" s="12">
        <v>2503.7089999999998</v>
      </c>
      <c r="C51" s="12">
        <v>4180.5919999999996</v>
      </c>
      <c r="D51" s="12">
        <v>16.234000000000002</v>
      </c>
      <c r="E51" s="13">
        <v>3.48</v>
      </c>
      <c r="F51" s="14">
        <v>124203</v>
      </c>
      <c r="G51" s="15">
        <f>LN(D52)-LN(D51)</f>
        <v>3.9959478985118757E-3</v>
      </c>
      <c r="H51" s="16">
        <f>C51*1000/F51</f>
        <v>33.659348002866274</v>
      </c>
      <c r="I51" s="16">
        <f>B51*1000/F51</f>
        <v>20.158200687584035</v>
      </c>
      <c r="J51" s="5">
        <f>(E51/400)-G51</f>
        <v>4.7040521014881237E-3</v>
      </c>
      <c r="K51" s="5">
        <f>LN(H52)-LN(H51)</f>
        <v>1.1198956903733848E-2</v>
      </c>
      <c r="L51" s="5">
        <f>LN(I52)-LN(I51)</f>
        <v>1.3997425425364085E-2</v>
      </c>
    </row>
    <row r="52" spans="1:12" x14ac:dyDescent="0.5">
      <c r="A52" s="11">
        <v>23559</v>
      </c>
      <c r="B52" s="12">
        <v>2549.9580000000001</v>
      </c>
      <c r="C52" s="12">
        <v>4245.9179999999997</v>
      </c>
      <c r="D52" s="12">
        <v>16.298999999999999</v>
      </c>
      <c r="E52" s="13">
        <v>3.5</v>
      </c>
      <c r="F52" s="14">
        <v>124739</v>
      </c>
      <c r="G52" s="15">
        <f>LN(D53)-LN(D52)</f>
        <v>4.5298804198594667E-3</v>
      </c>
      <c r="H52" s="16">
        <f>C52*1000/F52</f>
        <v>34.038416213052855</v>
      </c>
      <c r="I52" s="16">
        <f>B52*1000/F52</f>
        <v>20.44234762183439</v>
      </c>
      <c r="J52" s="5">
        <f>(E52/400)-G52</f>
        <v>4.2201195801405342E-3</v>
      </c>
      <c r="K52" s="5">
        <f>LN(H53)-LN(H52)</f>
        <v>-1.312373611964901E-3</v>
      </c>
      <c r="L52" s="5">
        <f>LN(I53)-LN(I52)</f>
        <v>-1.5494150889052705E-3</v>
      </c>
    </row>
    <row r="53" spans="1:12" x14ac:dyDescent="0.5">
      <c r="A53" s="11">
        <v>23651</v>
      </c>
      <c r="B53" s="12">
        <v>2557.2359999999999</v>
      </c>
      <c r="C53" s="12">
        <v>4259.0460000000003</v>
      </c>
      <c r="D53" s="12">
        <v>16.373000000000001</v>
      </c>
      <c r="E53" s="13">
        <v>3.68</v>
      </c>
      <c r="F53" s="14">
        <v>125289</v>
      </c>
      <c r="G53" s="15">
        <f>LN(D54)-LN(D53)</f>
        <v>4.9957457379479209E-3</v>
      </c>
      <c r="H53" s="16">
        <f>C53*1000/F53</f>
        <v>33.993774393601996</v>
      </c>
      <c r="I53" s="16">
        <f>B53*1000/F53</f>
        <v>20.410698465148577</v>
      </c>
      <c r="J53" s="5">
        <f>(E53/400)-G53</f>
        <v>4.204254262052079E-3</v>
      </c>
      <c r="K53" s="5">
        <f>LN(H54)-LN(H53)</f>
        <v>1.9729365868112581E-2</v>
      </c>
      <c r="L53" s="5">
        <f>LN(I54)-LN(I53)</f>
        <v>1.7874442464346441E-2</v>
      </c>
    </row>
    <row r="54" spans="1:12" x14ac:dyDescent="0.5">
      <c r="A54" s="11">
        <v>23743</v>
      </c>
      <c r="B54" s="12">
        <v>2614.2649999999999</v>
      </c>
      <c r="C54" s="12">
        <v>4362.1109999999999</v>
      </c>
      <c r="D54" s="12">
        <v>16.454999999999998</v>
      </c>
      <c r="E54" s="13">
        <v>3.89</v>
      </c>
      <c r="F54" s="14">
        <v>125814</v>
      </c>
      <c r="G54" s="15">
        <f>LN(D55)-LN(D54)</f>
        <v>4.6080236755718929E-3</v>
      </c>
      <c r="H54" s="16">
        <f>C54*1000/F54</f>
        <v>34.671109733415996</v>
      </c>
      <c r="I54" s="16">
        <f>B54*1000/F54</f>
        <v>20.778808399701145</v>
      </c>
      <c r="J54" s="5">
        <f>(E54/400)-G54</f>
        <v>5.1169763244281082E-3</v>
      </c>
      <c r="K54" s="5">
        <f>LN(H55)-LN(H54)</f>
        <v>8.5022310251301469E-3</v>
      </c>
      <c r="L54" s="5">
        <f>LN(I55)-LN(I54)</f>
        <v>6.9150230588652661E-3</v>
      </c>
    </row>
    <row r="55" spans="1:12" x14ac:dyDescent="0.5">
      <c r="A55" s="11">
        <v>23833</v>
      </c>
      <c r="B55" s="12">
        <v>2643.0970000000002</v>
      </c>
      <c r="C55" s="12">
        <v>4417.2250000000004</v>
      </c>
      <c r="D55" s="12">
        <v>16.530999999999999</v>
      </c>
      <c r="E55" s="13">
        <v>3.87</v>
      </c>
      <c r="F55" s="14">
        <v>126325</v>
      </c>
      <c r="G55" s="15">
        <f>LN(D56)-LN(D55)</f>
        <v>3.8640391010629216E-3</v>
      </c>
      <c r="H55" s="16">
        <f>C55*1000/F55</f>
        <v>34.967148228774988</v>
      </c>
      <c r="I55" s="16">
        <f>B55*1000/F55</f>
        <v>20.922992281812785</v>
      </c>
      <c r="J55" s="5">
        <f>(E55/400)-G55</f>
        <v>5.810960898937078E-3</v>
      </c>
      <c r="K55" s="5">
        <f>LN(H56)-LN(H55)</f>
        <v>1.8668842388325224E-2</v>
      </c>
      <c r="L55" s="5">
        <f>LN(I56)-LN(I55)</f>
        <v>1.3717302262032938E-2</v>
      </c>
    </row>
    <row r="56" spans="1:12" x14ac:dyDescent="0.5">
      <c r="A56" s="11">
        <v>23924</v>
      </c>
      <c r="B56" s="12">
        <v>2688.5120000000002</v>
      </c>
      <c r="C56" s="12">
        <v>4515.4269999999997</v>
      </c>
      <c r="D56" s="12">
        <v>16.594999999999999</v>
      </c>
      <c r="E56" s="13">
        <v>3.87</v>
      </c>
      <c r="F56" s="14">
        <v>126745</v>
      </c>
      <c r="G56" s="15">
        <f>LN(D57)-LN(D56)</f>
        <v>6.8460512400680962E-3</v>
      </c>
      <c r="H56" s="16">
        <f>C56*1000/F56</f>
        <v>35.626075979328576</v>
      </c>
      <c r="I56" s="16">
        <f>B56*1000/F56</f>
        <v>21.21197680381869</v>
      </c>
      <c r="J56" s="5">
        <f>(E56/400)-G56</f>
        <v>2.8289487599319034E-3</v>
      </c>
      <c r="K56" s="5">
        <f>LN(H57)-LN(H56)</f>
        <v>1.9437909603248205E-2</v>
      </c>
      <c r="L56" s="5">
        <f>LN(I57)-LN(I56)</f>
        <v>2.4385316746650343E-2</v>
      </c>
    </row>
    <row r="57" spans="1:12" x14ac:dyDescent="0.5">
      <c r="A57" s="11">
        <v>24016</v>
      </c>
      <c r="B57" s="12">
        <v>2764.0940000000001</v>
      </c>
      <c r="C57" s="12">
        <v>4619.4579999999996</v>
      </c>
      <c r="D57" s="12">
        <v>16.709</v>
      </c>
      <c r="E57" s="13">
        <v>4.17</v>
      </c>
      <c r="F57" s="14">
        <v>127169</v>
      </c>
      <c r="G57" s="15">
        <f>LN(D58)-LN(D57)</f>
        <v>6.3833177225891546E-3</v>
      </c>
      <c r="H57" s="16">
        <f>C57*1000/F57</f>
        <v>36.325346586039053</v>
      </c>
      <c r="I57" s="16">
        <f>B57*1000/F57</f>
        <v>21.735595939261927</v>
      </c>
      <c r="J57" s="5">
        <f>(E57/400)-G57</f>
        <v>4.0416822774108456E-3</v>
      </c>
      <c r="K57" s="5">
        <f>LN(H58)-LN(H57)</f>
        <v>2.1361170127779161E-2</v>
      </c>
      <c r="L57" s="5">
        <f>LN(I58)-LN(I57)</f>
        <v>1.1968892311120971E-2</v>
      </c>
    </row>
    <row r="58" spans="1:12" x14ac:dyDescent="0.5">
      <c r="A58" s="11">
        <v>24108</v>
      </c>
      <c r="B58" s="12">
        <v>2804.8989999999999</v>
      </c>
      <c r="C58" s="12">
        <v>4731.8879999999999</v>
      </c>
      <c r="D58" s="12">
        <v>16.815999999999999</v>
      </c>
      <c r="E58" s="13">
        <v>4.6100000000000003</v>
      </c>
      <c r="F58" s="14">
        <v>127511</v>
      </c>
      <c r="G58" s="15">
        <f>LN(D59)-LN(D58)</f>
        <v>8.1729800516185946E-3</v>
      </c>
      <c r="H58" s="16">
        <f>C58*1000/F58</f>
        <v>37.109645442353994</v>
      </c>
      <c r="I58" s="16">
        <f>B58*1000/F58</f>
        <v>21.997310035996893</v>
      </c>
      <c r="J58" s="5">
        <f>(E58/400)-G58</f>
        <v>3.3520199483814059E-3</v>
      </c>
      <c r="K58" s="5">
        <f>LN(H59)-LN(H58)</f>
        <v>6.052208303097828E-4</v>
      </c>
      <c r="L58" s="5">
        <f>LN(I59)-LN(I58)</f>
        <v>-2.4464146371405704E-4</v>
      </c>
    </row>
    <row r="59" spans="1:12" x14ac:dyDescent="0.5">
      <c r="A59" s="11">
        <v>24198</v>
      </c>
      <c r="B59" s="12">
        <v>2812.0859999999998</v>
      </c>
      <c r="C59" s="12">
        <v>4748.0460000000003</v>
      </c>
      <c r="D59" s="12">
        <v>16.954000000000001</v>
      </c>
      <c r="E59" s="13">
        <v>4.59</v>
      </c>
      <c r="F59" s="14">
        <v>127869</v>
      </c>
      <c r="G59" s="15">
        <f>LN(D60)-LN(D59)</f>
        <v>9.6267472732041171E-3</v>
      </c>
      <c r="H59" s="16">
        <f>C59*1000/F59</f>
        <v>37.132111770640265</v>
      </c>
      <c r="I59" s="16">
        <f>B59*1000/F59</f>
        <v>21.991929240081646</v>
      </c>
      <c r="J59" s="5">
        <f>(E59/400)-G59</f>
        <v>1.848252726795882E-3</v>
      </c>
      <c r="K59" s="5">
        <f>LN(H60)-LN(H59)</f>
        <v>5.5822530052402897E-3</v>
      </c>
      <c r="L59" s="5">
        <f>LN(I60)-LN(I59)</f>
        <v>8.5041554922091755E-3</v>
      </c>
    </row>
    <row r="60" spans="1:12" x14ac:dyDescent="0.5">
      <c r="A60" s="11">
        <v>24289</v>
      </c>
      <c r="B60" s="12">
        <v>2844.1979999999999</v>
      </c>
      <c r="C60" s="12">
        <v>4788.2539999999999</v>
      </c>
      <c r="D60" s="12">
        <v>17.117999999999999</v>
      </c>
      <c r="E60" s="13">
        <v>5.04</v>
      </c>
      <c r="F60" s="14">
        <v>128234</v>
      </c>
      <c r="G60" s="15">
        <f>LN(D61)-LN(D60)</f>
        <v>8.3190799451342556E-3</v>
      </c>
      <c r="H60" s="16">
        <f>C60*1000/F60</f>
        <v>37.339972238251946</v>
      </c>
      <c r="I60" s="16">
        <f>B60*1000/F60</f>
        <v>22.179749520408006</v>
      </c>
      <c r="J60" s="5">
        <f>(E60/400)-G60</f>
        <v>4.2809200548657445E-3</v>
      </c>
      <c r="K60" s="5">
        <f>LN(H61)-LN(H60)</f>
        <v>5.1882881552138826E-3</v>
      </c>
      <c r="L60" s="5">
        <f>LN(I61)-LN(I60)</f>
        <v>1.1750951738096482E-3</v>
      </c>
    </row>
    <row r="61" spans="1:12" x14ac:dyDescent="0.5">
      <c r="A61" s="11">
        <v>24381</v>
      </c>
      <c r="B61" s="12">
        <v>2856.047</v>
      </c>
      <c r="C61" s="12">
        <v>4827.5370000000003</v>
      </c>
      <c r="D61" s="12">
        <v>17.260999999999999</v>
      </c>
      <c r="E61" s="13">
        <v>5.21</v>
      </c>
      <c r="F61" s="14">
        <v>128617</v>
      </c>
      <c r="G61" s="15">
        <f>LN(D62)-LN(D61)</f>
        <v>4.1625775546210164E-3</v>
      </c>
      <c r="H61" s="16">
        <f>C61*1000/F61</f>
        <v>37.534206209132542</v>
      </c>
      <c r="I61" s="16">
        <f>B61*1000/F61</f>
        <v>22.205828156464541</v>
      </c>
      <c r="J61" s="5">
        <f>(E61/400)-G61</f>
        <v>8.8624224453789837E-3</v>
      </c>
      <c r="K61" s="5">
        <f>LN(H62)-LN(H61)</f>
        <v>5.5044962362003069E-3</v>
      </c>
      <c r="L61" s="5">
        <f>LN(I62)-LN(I61)</f>
        <v>2.431186766687965E-3</v>
      </c>
    </row>
    <row r="62" spans="1:12" x14ac:dyDescent="0.5">
      <c r="A62" s="11">
        <v>24473</v>
      </c>
      <c r="B62" s="12">
        <v>2872.5039999999999</v>
      </c>
      <c r="C62" s="12">
        <v>4870.299</v>
      </c>
      <c r="D62" s="12">
        <v>17.332999999999998</v>
      </c>
      <c r="E62" s="13">
        <v>4.51</v>
      </c>
      <c r="F62" s="14">
        <v>129044</v>
      </c>
      <c r="G62" s="15">
        <f>LN(D63)-LN(D62)</f>
        <v>5.0641760988492379E-3</v>
      </c>
      <c r="H62" s="16">
        <f>C62*1000/F62</f>
        <v>37.741382784166639</v>
      </c>
      <c r="I62" s="16">
        <f>B62*1000/F62</f>
        <v>22.259880350888068</v>
      </c>
      <c r="J62" s="5">
        <f>(E62/400)-G62</f>
        <v>6.2108239011507624E-3</v>
      </c>
      <c r="K62" s="5">
        <f>LN(H63)-LN(H62)</f>
        <v>-3.1225955688949369E-3</v>
      </c>
      <c r="L62" s="5">
        <f>LN(I63)-LN(I62)</f>
        <v>9.8431589041929612E-3</v>
      </c>
    </row>
    <row r="63" spans="1:12" x14ac:dyDescent="0.5">
      <c r="A63" s="11">
        <v>24563</v>
      </c>
      <c r="B63" s="12">
        <v>2911.7759999999998</v>
      </c>
      <c r="C63" s="12">
        <v>4873.2870000000003</v>
      </c>
      <c r="D63" s="12">
        <v>17.420999999999999</v>
      </c>
      <c r="E63" s="13">
        <v>3.66</v>
      </c>
      <c r="F63" s="14">
        <v>129527</v>
      </c>
      <c r="G63" s="15">
        <f>LN(D64)-LN(D63)</f>
        <v>9.5404762605411086E-3</v>
      </c>
      <c r="H63" s="16">
        <f>C63*1000/F63</f>
        <v>37.623715518772151</v>
      </c>
      <c r="I63" s="16">
        <f>B63*1000/F63</f>
        <v>22.480069792398496</v>
      </c>
      <c r="J63" s="5">
        <f>(E63/400)-G63</f>
        <v>-3.904762605411085E-4</v>
      </c>
      <c r="K63" s="5">
        <f>LN(H64)-LN(H63)</f>
        <v>4.4950822043614558E-3</v>
      </c>
      <c r="L63" s="5">
        <f>LN(I64)-LN(I63)</f>
        <v>1.8597355401173132E-4</v>
      </c>
    </row>
    <row r="64" spans="1:12" x14ac:dyDescent="0.5">
      <c r="A64" s="11">
        <v>24654</v>
      </c>
      <c r="B64" s="12">
        <v>2926.6849999999999</v>
      </c>
      <c r="C64" s="12">
        <v>4919.3919999999998</v>
      </c>
      <c r="D64" s="12">
        <v>17.588000000000001</v>
      </c>
      <c r="E64" s="13">
        <v>4.3</v>
      </c>
      <c r="F64" s="14">
        <v>130166</v>
      </c>
      <c r="G64" s="15">
        <f>LN(D65)-LN(D64)</f>
        <v>1.1082325343331867E-2</v>
      </c>
      <c r="H64" s="16">
        <f>C64*1000/F64</f>
        <v>37.793217891000722</v>
      </c>
      <c r="I64" s="16">
        <f>B64*1000/F64</f>
        <v>22.484250879645991</v>
      </c>
      <c r="J64" s="5">
        <f>(E64/400)-G64</f>
        <v>-3.3232534333186778E-4</v>
      </c>
      <c r="K64" s="5">
        <f>LN(H65)-LN(H64)</f>
        <v>2.980180639402974E-3</v>
      </c>
      <c r="L64" s="5">
        <f>LN(I65)-LN(I64)</f>
        <v>1.5704837854300102E-3</v>
      </c>
    </row>
    <row r="65" spans="1:12" x14ac:dyDescent="0.5">
      <c r="A65" s="11">
        <v>24746</v>
      </c>
      <c r="B65" s="12">
        <v>2944.5940000000001</v>
      </c>
      <c r="C65" s="12">
        <v>4956.4769999999999</v>
      </c>
      <c r="D65" s="12">
        <v>17.783999999999999</v>
      </c>
      <c r="E65" s="13">
        <v>4.75</v>
      </c>
      <c r="F65" s="14">
        <v>130757</v>
      </c>
      <c r="G65" s="15">
        <f>LN(D66)-LN(D65)</f>
        <v>1.1016468187605266E-2</v>
      </c>
      <c r="H65" s="16">
        <f>C65*1000/F65</f>
        <v>37.906016503896538</v>
      </c>
      <c r="I65" s="16">
        <f>B65*1000/F65</f>
        <v>22.519589773396454</v>
      </c>
      <c r="J65" s="5">
        <f>(E65/400)-G65</f>
        <v>8.58531812394734E-4</v>
      </c>
      <c r="K65" s="5">
        <f>LN(H66)-LN(H65)</f>
        <v>1.6294785285032809E-2</v>
      </c>
      <c r="L65" s="5">
        <f>LN(I66)-LN(I65)</f>
        <v>1.9789835163146474E-2</v>
      </c>
    </row>
    <row r="66" spans="1:12" x14ac:dyDescent="0.5">
      <c r="A66" s="11">
        <v>24838</v>
      </c>
      <c r="B66" s="12">
        <v>3015.1619999999998</v>
      </c>
      <c r="C66" s="12">
        <v>5057.5529999999999</v>
      </c>
      <c r="D66" s="12">
        <v>17.981000000000002</v>
      </c>
      <c r="E66" s="13">
        <v>5.05</v>
      </c>
      <c r="F66" s="14">
        <v>131267</v>
      </c>
      <c r="G66" s="15">
        <f>LN(D67)-LN(D66)</f>
        <v>1.0511271817418955E-2</v>
      </c>
      <c r="H66" s="16">
        <f>C66*1000/F66</f>
        <v>38.528746752801538</v>
      </c>
      <c r="I66" s="16">
        <f>B66*1000/F66</f>
        <v>22.96968773568376</v>
      </c>
      <c r="J66" s="5">
        <f>(E66/400)-G66</f>
        <v>2.1137281825810445E-3</v>
      </c>
      <c r="K66" s="5">
        <f>LN(H67)-LN(H66)</f>
        <v>1.3181453190870052E-2</v>
      </c>
      <c r="L66" s="5">
        <f>LN(I67)-LN(I66)</f>
        <v>1.1728297503196927E-2</v>
      </c>
    </row>
    <row r="67" spans="1:12" x14ac:dyDescent="0.5">
      <c r="A67" s="11">
        <v>24929</v>
      </c>
      <c r="B67" s="12">
        <v>3061.0749999999998</v>
      </c>
      <c r="C67" s="12">
        <v>5142.0330000000004</v>
      </c>
      <c r="D67" s="12">
        <v>18.170999999999999</v>
      </c>
      <c r="E67" s="13">
        <v>5.52</v>
      </c>
      <c r="F67" s="14">
        <v>131712</v>
      </c>
      <c r="G67" s="15">
        <f t="shared" ref="G67:G130" si="0">LN(D68)-LN(D67)</f>
        <v>9.7481604358966578E-3</v>
      </c>
      <c r="H67" s="16">
        <f>C67*1000/F67</f>
        <v>39.039973578717202</v>
      </c>
      <c r="I67" s="16">
        <f>B67*1000/F67</f>
        <v>23.240669035471331</v>
      </c>
      <c r="J67" s="5">
        <f t="shared" ref="J67:J130" si="1">(E67/400)-G67</f>
        <v>4.051839564103342E-3</v>
      </c>
      <c r="K67" s="5">
        <f>LN(H68)-LN(H67)</f>
        <v>3.6389956718645422E-3</v>
      </c>
      <c r="L67" s="5">
        <f>LN(I68)-LN(I67)</f>
        <v>1.449196871742009E-2</v>
      </c>
    </row>
    <row r="68" spans="1:12" x14ac:dyDescent="0.5">
      <c r="A68" s="11">
        <v>25020</v>
      </c>
      <c r="B68" s="12">
        <v>3118.4450000000002</v>
      </c>
      <c r="C68" s="12">
        <v>5181.8590000000004</v>
      </c>
      <c r="D68" s="12">
        <v>18.349</v>
      </c>
      <c r="E68" s="13">
        <v>5.2</v>
      </c>
      <c r="F68" s="14">
        <v>132250</v>
      </c>
      <c r="G68" s="15">
        <f t="shared" si="0"/>
        <v>1.4016518673492406E-2</v>
      </c>
      <c r="H68" s="16">
        <f>C68*1000/F68</f>
        <v>39.18229867674858</v>
      </c>
      <c r="I68" s="16">
        <f>B68*1000/F68</f>
        <v>23.579924385633269</v>
      </c>
      <c r="J68" s="5">
        <f t="shared" si="1"/>
        <v>-1.0165186734924052E-3</v>
      </c>
      <c r="K68" s="5">
        <f>LN(H69)-LN(H68)</f>
        <v>-8.3234701238676934E-4</v>
      </c>
      <c r="L68" s="5">
        <f>LN(I69)-LN(I68)</f>
        <v>-2.5195535669197966E-4</v>
      </c>
    </row>
    <row r="69" spans="1:12" x14ac:dyDescent="0.5">
      <c r="A69" s="11">
        <v>25112</v>
      </c>
      <c r="B69" s="12">
        <v>3132.511</v>
      </c>
      <c r="C69" s="12">
        <v>5202.2120000000004</v>
      </c>
      <c r="D69" s="12">
        <v>18.608000000000001</v>
      </c>
      <c r="E69" s="13">
        <v>5.59</v>
      </c>
      <c r="F69" s="14">
        <v>132880</v>
      </c>
      <c r="G69" s="15">
        <f t="shared" si="0"/>
        <v>1.0265274059594987E-2</v>
      </c>
      <c r="H69" s="16">
        <f>C69*1000/F69</f>
        <v>39.14969897652017</v>
      </c>
      <c r="I69" s="16">
        <f>B69*1000/F69</f>
        <v>23.573984045755569</v>
      </c>
      <c r="J69" s="5">
        <f t="shared" si="1"/>
        <v>3.7097259404050131E-3</v>
      </c>
      <c r="K69" s="5">
        <f>LN(H70)-LN(H69)</f>
        <v>1.1047974927490767E-2</v>
      </c>
      <c r="L69" s="5">
        <f>LN(I70)-LN(I69)</f>
        <v>6.5519843952155377E-3</v>
      </c>
    </row>
    <row r="70" spans="1:12" x14ac:dyDescent="0.5">
      <c r="A70" s="11">
        <v>25204</v>
      </c>
      <c r="B70" s="12">
        <v>3167.2449999999999</v>
      </c>
      <c r="C70" s="12">
        <v>5283.5969999999998</v>
      </c>
      <c r="D70" s="12">
        <v>18.8</v>
      </c>
      <c r="E70" s="13">
        <v>6.09</v>
      </c>
      <c r="F70" s="14">
        <v>133476</v>
      </c>
      <c r="G70" s="15">
        <f t="shared" si="0"/>
        <v>1.2632637139635694E-2</v>
      </c>
      <c r="H70" s="16">
        <f>C70*1000/F70</f>
        <v>39.584621954508677</v>
      </c>
      <c r="I70" s="16">
        <f>B70*1000/F70</f>
        <v>23.728947526147024</v>
      </c>
      <c r="J70" s="5">
        <f t="shared" si="1"/>
        <v>2.5923628603643049E-3</v>
      </c>
      <c r="K70" s="5">
        <f>LN(H71)-LN(H70)</f>
        <v>-1.0384085819947764E-3</v>
      </c>
      <c r="L70" s="5">
        <f>LN(I71)-LN(I70)</f>
        <v>2.3629573652601543E-3</v>
      </c>
    </row>
    <row r="71" spans="1:12" x14ac:dyDescent="0.5">
      <c r="A71" s="11">
        <v>25294</v>
      </c>
      <c r="B71" s="12">
        <v>3187.6770000000001</v>
      </c>
      <c r="C71" s="12">
        <v>5299.625</v>
      </c>
      <c r="D71" s="12">
        <v>19.039000000000001</v>
      </c>
      <c r="E71" s="13">
        <v>6.2</v>
      </c>
      <c r="F71" s="14">
        <v>134020</v>
      </c>
      <c r="G71" s="15">
        <f t="shared" si="0"/>
        <v>1.3978217478140209E-2</v>
      </c>
      <c r="H71" s="16">
        <f>C71*1000/F71</f>
        <v>39.543538277868976</v>
      </c>
      <c r="I71" s="16">
        <f>B71*1000/F71</f>
        <v>23.785084315773766</v>
      </c>
      <c r="J71" s="5">
        <f t="shared" si="1"/>
        <v>1.5217825218597908E-3</v>
      </c>
      <c r="K71" s="5">
        <f>LN(H72)-LN(H71)</f>
        <v>2.2966151620429365E-3</v>
      </c>
      <c r="L71" s="5">
        <f>LN(I72)-LN(I71)</f>
        <v>5.8226427588037311E-4</v>
      </c>
    </row>
    <row r="72" spans="1:12" x14ac:dyDescent="0.5">
      <c r="A72" s="11">
        <v>25385</v>
      </c>
      <c r="B72" s="12">
        <v>3203.2179999999998</v>
      </c>
      <c r="C72" s="12">
        <v>5334.6</v>
      </c>
      <c r="D72" s="12">
        <v>19.306999999999999</v>
      </c>
      <c r="E72" s="13">
        <v>7.02</v>
      </c>
      <c r="F72" s="14">
        <v>134595</v>
      </c>
      <c r="G72" s="15">
        <f t="shared" si="0"/>
        <v>1.2814420262719395E-2</v>
      </c>
      <c r="H72" s="16">
        <f>C72*1000/F72</f>
        <v>39.634458932352615</v>
      </c>
      <c r="I72" s="16">
        <f>B72*1000/F72</f>
        <v>23.798937553400943</v>
      </c>
      <c r="J72" s="5">
        <f t="shared" si="1"/>
        <v>4.7355797372806048E-3</v>
      </c>
      <c r="K72" s="5">
        <f>LN(H73)-LN(H72)</f>
        <v>-9.7265137542539293E-3</v>
      </c>
      <c r="L72" s="5">
        <f>LN(I73)-LN(I72)</f>
        <v>3.1283489896787309E-3</v>
      </c>
    </row>
    <row r="73" spans="1:12" x14ac:dyDescent="0.5">
      <c r="A73" s="11">
        <v>25477</v>
      </c>
      <c r="B73" s="12">
        <v>3228.82</v>
      </c>
      <c r="C73" s="12">
        <v>5308.5559999999996</v>
      </c>
      <c r="D73" s="12">
        <v>19.556000000000001</v>
      </c>
      <c r="E73" s="13">
        <v>7.35</v>
      </c>
      <c r="F73" s="14">
        <v>135247</v>
      </c>
      <c r="G73" s="15">
        <f t="shared" si="0"/>
        <v>1.4014650016490382E-2</v>
      </c>
      <c r="H73" s="16">
        <f>C73*1000/F73</f>
        <v>39.250822569077314</v>
      </c>
      <c r="I73" s="16">
        <f>B73*1000/F73</f>
        <v>23.873505512137054</v>
      </c>
      <c r="J73" s="5">
        <f t="shared" si="1"/>
        <v>4.360349983509617E-3</v>
      </c>
      <c r="K73" s="5">
        <f>LN(H74)-LN(H73)</f>
        <v>-6.6744614193057217E-3</v>
      </c>
      <c r="L73" s="5">
        <f>LN(I74)-LN(I73)</f>
        <v>1.0008308190947446E-3</v>
      </c>
    </row>
    <row r="74" spans="1:12" x14ac:dyDescent="0.5">
      <c r="A74" s="11">
        <v>25569</v>
      </c>
      <c r="B74" s="12">
        <v>3248.8530000000001</v>
      </c>
      <c r="C74" s="12">
        <v>5300.652</v>
      </c>
      <c r="D74" s="12">
        <v>19.832000000000001</v>
      </c>
      <c r="E74" s="13">
        <v>7.21</v>
      </c>
      <c r="F74" s="14">
        <v>135950</v>
      </c>
      <c r="G74" s="15">
        <f t="shared" si="0"/>
        <v>1.3820951097439416E-2</v>
      </c>
      <c r="H74" s="16">
        <f>C74*1000/F74</f>
        <v>38.98971680764987</v>
      </c>
      <c r="I74" s="16">
        <f>B74*1000/F74</f>
        <v>23.897410812798825</v>
      </c>
      <c r="J74" s="5">
        <f t="shared" si="1"/>
        <v>4.2040489025605837E-3</v>
      </c>
      <c r="K74" s="5">
        <f>LN(H75)-LN(H74)</f>
        <v>-3.9171259571144645E-3</v>
      </c>
      <c r="L74" s="5">
        <f>LN(I75)-LN(I74)</f>
        <v>-8.1332318215610044E-4</v>
      </c>
    </row>
    <row r="75" spans="1:12" x14ac:dyDescent="0.5">
      <c r="A75" s="11">
        <v>25659</v>
      </c>
      <c r="B75" s="12">
        <v>3263.5709999999999</v>
      </c>
      <c r="C75" s="12">
        <v>5308.1639999999998</v>
      </c>
      <c r="D75" s="12">
        <v>20.108000000000001</v>
      </c>
      <c r="E75" s="13">
        <v>6.68</v>
      </c>
      <c r="F75" s="14">
        <v>136677</v>
      </c>
      <c r="G75" s="15">
        <f t="shared" si="0"/>
        <v>8.1722056557280709E-3</v>
      </c>
      <c r="H75" s="16">
        <f>C75*1000/F75</f>
        <v>38.837287912377356</v>
      </c>
      <c r="I75" s="16">
        <f>B75*1000/F75</f>
        <v>23.87798239645295</v>
      </c>
      <c r="J75" s="5">
        <f t="shared" si="1"/>
        <v>8.5277943442719287E-3</v>
      </c>
      <c r="K75" s="5">
        <f>LN(H76)-LN(H75)</f>
        <v>3.4890897922479347E-3</v>
      </c>
      <c r="L75" s="5">
        <f>LN(I76)-LN(I75)</f>
        <v>3.0454879694246095E-3</v>
      </c>
    </row>
    <row r="76" spans="1:12" x14ac:dyDescent="0.5">
      <c r="A76" s="11">
        <v>25750</v>
      </c>
      <c r="B76" s="12">
        <v>3292.183</v>
      </c>
      <c r="C76" s="12">
        <v>5357.0770000000002</v>
      </c>
      <c r="D76" s="12">
        <v>20.273</v>
      </c>
      <c r="E76" s="13">
        <v>6.33</v>
      </c>
      <c r="F76" s="14">
        <v>137456</v>
      </c>
      <c r="G76" s="15">
        <f t="shared" si="0"/>
        <v>1.3132937320978755E-2</v>
      </c>
      <c r="H76" s="16">
        <f>C76*1000/F76</f>
        <v>38.973031370038413</v>
      </c>
      <c r="I76" s="16">
        <f>B76*1000/F76</f>
        <v>23.95081335118147</v>
      </c>
      <c r="J76" s="5">
        <f t="shared" si="1"/>
        <v>2.692062679021244E-3</v>
      </c>
      <c r="K76" s="5">
        <f>LN(H77)-LN(H76)</f>
        <v>-1.660566328301627E-2</v>
      </c>
      <c r="L76" s="5">
        <f>LN(I77)-LN(I76)</f>
        <v>-8.5507125979438214E-3</v>
      </c>
    </row>
    <row r="77" spans="1:12" x14ac:dyDescent="0.5">
      <c r="A77" s="11">
        <v>25842</v>
      </c>
      <c r="B77" s="12">
        <v>3283.2449999999999</v>
      </c>
      <c r="C77" s="12">
        <v>5299.6719999999996</v>
      </c>
      <c r="D77" s="12">
        <v>20.541</v>
      </c>
      <c r="E77" s="13">
        <v>5.35</v>
      </c>
      <c r="F77" s="14">
        <v>138260</v>
      </c>
      <c r="G77" s="15">
        <f t="shared" si="0"/>
        <v>1.5074933979422944E-2</v>
      </c>
      <c r="H77" s="16">
        <f>C77*1000/F77</f>
        <v>38.331202083031968</v>
      </c>
      <c r="I77" s="16">
        <f>B77*1000/F77</f>
        <v>23.74688991754665</v>
      </c>
      <c r="J77" s="5">
        <f t="shared" si="1"/>
        <v>-1.6999339794229445E-3</v>
      </c>
      <c r="K77" s="5">
        <f>LN(H78)-LN(H77)</f>
        <v>2.1216628165293017E-2</v>
      </c>
      <c r="L77" s="5">
        <f>LN(I78)-LN(I77)</f>
        <v>1.3430895373686358E-2</v>
      </c>
    </row>
    <row r="78" spans="1:12" x14ac:dyDescent="0.5">
      <c r="A78" s="11">
        <v>25934</v>
      </c>
      <c r="B78" s="12">
        <v>3346.268</v>
      </c>
      <c r="C78" s="12">
        <v>5443.6189999999997</v>
      </c>
      <c r="D78" s="12">
        <v>20.853000000000002</v>
      </c>
      <c r="E78" s="13">
        <v>3.84</v>
      </c>
      <c r="F78" s="14">
        <v>139034</v>
      </c>
      <c r="G78" s="15">
        <f t="shared" si="0"/>
        <v>1.3054020531638955E-2</v>
      </c>
      <c r="H78" s="16">
        <f>C78*1000/F78</f>
        <v>39.153149589309088</v>
      </c>
      <c r="I78" s="16">
        <f>B78*1000/F78</f>
        <v>24.067983370974005</v>
      </c>
      <c r="J78" s="5">
        <f t="shared" si="1"/>
        <v>-3.4540205316389554E-3</v>
      </c>
      <c r="K78" s="5">
        <f>LN(H79)-LN(H78)</f>
        <v>-2.9384140051158525E-4</v>
      </c>
      <c r="L78" s="5">
        <f>LN(I79)-LN(I78)</f>
        <v>3.4611243838078565E-3</v>
      </c>
    </row>
    <row r="79" spans="1:12" x14ac:dyDescent="0.5">
      <c r="A79" s="11">
        <v>26024</v>
      </c>
      <c r="B79" s="12">
        <v>3377.0219999999999</v>
      </c>
      <c r="C79" s="12">
        <v>5473.0590000000002</v>
      </c>
      <c r="D79" s="12">
        <v>21.126999999999999</v>
      </c>
      <c r="E79" s="13">
        <v>4.25</v>
      </c>
      <c r="F79" s="14">
        <v>139827</v>
      </c>
      <c r="G79" s="15">
        <f t="shared" si="0"/>
        <v>1.012511887627543E-2</v>
      </c>
      <c r="H79" s="16">
        <f>C79*1000/F79</f>
        <v>39.14164646312944</v>
      </c>
      <c r="I79" s="16">
        <f>B79*1000/F79</f>
        <v>24.151429981334076</v>
      </c>
      <c r="J79" s="5">
        <f t="shared" si="1"/>
        <v>4.9988112372457115E-4</v>
      </c>
      <c r="K79" s="5">
        <f>LN(H80)-LN(H79)</f>
        <v>2.65645954208793E-3</v>
      </c>
      <c r="L79" s="5">
        <f>LN(I80)-LN(I79)</f>
        <v>2.4070125555830657E-3</v>
      </c>
    </row>
    <row r="80" spans="1:12" x14ac:dyDescent="0.5">
      <c r="A80" s="11">
        <v>26115</v>
      </c>
      <c r="B80" s="12">
        <v>3403.9470000000001</v>
      </c>
      <c r="C80" s="12">
        <v>5518.0720000000001</v>
      </c>
      <c r="D80" s="12">
        <v>21.341999999999999</v>
      </c>
      <c r="E80" s="13">
        <v>5.01</v>
      </c>
      <c r="F80" s="14">
        <v>140603</v>
      </c>
      <c r="G80" s="15">
        <f t="shared" si="0"/>
        <v>8.3057730992104339E-3</v>
      </c>
      <c r="H80" s="16">
        <f>C80*1000/F80</f>
        <v>39.245762892683658</v>
      </c>
      <c r="I80" s="16">
        <f>B80*1000/F80</f>
        <v>24.209632795886289</v>
      </c>
      <c r="J80" s="5">
        <f t="shared" si="1"/>
        <v>4.2192269007895657E-3</v>
      </c>
      <c r="K80" s="5">
        <f>LN(H81)-LN(H80)</f>
        <v>-3.3206887062866564E-3</v>
      </c>
      <c r="L80" s="5">
        <f>LN(I81)-LN(I80)</f>
        <v>1.0789769829167017E-2</v>
      </c>
    </row>
    <row r="81" spans="1:12" x14ac:dyDescent="0.5">
      <c r="A81" s="11">
        <v>26207</v>
      </c>
      <c r="B81" s="12">
        <v>3460.4270000000001</v>
      </c>
      <c r="C81" s="12">
        <v>5531.0320000000002</v>
      </c>
      <c r="D81" s="12">
        <v>21.52</v>
      </c>
      <c r="E81" s="13">
        <v>4.2300000000000004</v>
      </c>
      <c r="F81" s="14">
        <v>141402</v>
      </c>
      <c r="G81" s="15">
        <f t="shared" si="0"/>
        <v>1.5126648877820337E-2</v>
      </c>
      <c r="H81" s="16">
        <f>C81*1000/F81</f>
        <v>39.115656072757105</v>
      </c>
      <c r="I81" s="16">
        <f>B81*1000/F81</f>
        <v>24.472263475764134</v>
      </c>
      <c r="J81" s="5">
        <f t="shared" si="1"/>
        <v>-4.5516488778203357E-3</v>
      </c>
      <c r="K81" s="5">
        <f>LN(H82)-LN(H81)</f>
        <v>6.932732974140432E-3</v>
      </c>
      <c r="L81" s="5">
        <f>LN(I82)-LN(I81)</f>
        <v>1.8390492811191095E-3</v>
      </c>
    </row>
    <row r="82" spans="1:12" x14ac:dyDescent="0.5">
      <c r="A82" s="11">
        <v>26299</v>
      </c>
      <c r="B82" s="12">
        <v>3506.098</v>
      </c>
      <c r="C82" s="12">
        <v>5632.6490000000003</v>
      </c>
      <c r="D82" s="12">
        <v>21.847999999999999</v>
      </c>
      <c r="E82" s="13">
        <v>3.44</v>
      </c>
      <c r="F82" s="14">
        <v>143005</v>
      </c>
      <c r="G82" s="15">
        <f t="shared" si="0"/>
        <v>6.205531868535008E-3</v>
      </c>
      <c r="H82" s="16">
        <f>C82*1000/F82</f>
        <v>39.387776651166043</v>
      </c>
      <c r="I82" s="16">
        <f>B82*1000/F82</f>
        <v>24.517310583546031</v>
      </c>
      <c r="J82" s="5">
        <f t="shared" si="1"/>
        <v>2.394468131464992E-3</v>
      </c>
      <c r="K82" s="5">
        <f>LN(H83)-LN(H82)</f>
        <v>1.7180530279719441E-2</v>
      </c>
      <c r="L82" s="5">
        <f>LN(I83)-LN(I82)</f>
        <v>1.359892760035919E-2</v>
      </c>
    </row>
    <row r="83" spans="1:12" x14ac:dyDescent="0.5">
      <c r="A83" s="11">
        <v>26390</v>
      </c>
      <c r="B83" s="12">
        <v>3572.8420000000001</v>
      </c>
      <c r="C83" s="12">
        <v>5760.47</v>
      </c>
      <c r="D83" s="12">
        <v>21.984000000000002</v>
      </c>
      <c r="E83" s="13">
        <v>3.77</v>
      </c>
      <c r="F83" s="14">
        <v>143759</v>
      </c>
      <c r="G83" s="15">
        <f t="shared" si="0"/>
        <v>9.5070660384330985E-3</v>
      </c>
      <c r="H83" s="16">
        <f>C83*1000/F83</f>
        <v>40.070326031761489</v>
      </c>
      <c r="I83" s="16">
        <f>B83*1000/F83</f>
        <v>24.85299702975118</v>
      </c>
      <c r="J83" s="5">
        <f t="shared" si="1"/>
        <v>-8.2066038433099148E-5</v>
      </c>
      <c r="K83" s="5">
        <f>LN(H84)-LN(H83)</f>
        <v>4.0962315503647595E-3</v>
      </c>
      <c r="L83" s="5">
        <f>LN(I84)-LN(I83)</f>
        <v>9.9933354990016099E-3</v>
      </c>
    </row>
    <row r="84" spans="1:12" x14ac:dyDescent="0.5">
      <c r="A84" s="11">
        <v>26481</v>
      </c>
      <c r="B84" s="12">
        <v>3627.904</v>
      </c>
      <c r="C84" s="12">
        <v>5814.8540000000003</v>
      </c>
      <c r="D84" s="12">
        <v>22.193999999999999</v>
      </c>
      <c r="E84" s="13">
        <v>4.22</v>
      </c>
      <c r="F84" s="14">
        <v>144523</v>
      </c>
      <c r="G84" s="15">
        <f t="shared" si="0"/>
        <v>1.2670582084318482E-2</v>
      </c>
      <c r="H84" s="16">
        <f>C84*1000/F84</f>
        <v>40.234799997232273</v>
      </c>
      <c r="I84" s="16">
        <f>B84*1000/F84</f>
        <v>25.102606505538912</v>
      </c>
      <c r="J84" s="5">
        <f t="shared" si="1"/>
        <v>-2.1205820843184838E-3</v>
      </c>
      <c r="K84" s="5">
        <f>LN(H85)-LN(H84)</f>
        <v>1.1828978824400593E-2</v>
      </c>
      <c r="L84" s="5">
        <f>LN(I85)-LN(I84)</f>
        <v>1.8418600008018871E-2</v>
      </c>
    </row>
    <row r="85" spans="1:12" x14ac:dyDescent="0.5">
      <c r="A85" s="11">
        <v>26573</v>
      </c>
      <c r="B85" s="12">
        <v>3713.038</v>
      </c>
      <c r="C85" s="12">
        <v>5912.22</v>
      </c>
      <c r="D85" s="12">
        <v>22.477</v>
      </c>
      <c r="E85" s="13">
        <v>4.8600000000000003</v>
      </c>
      <c r="F85" s="14">
        <v>145215</v>
      </c>
      <c r="G85" s="15">
        <f t="shared" si="0"/>
        <v>1.1457007192054558E-2</v>
      </c>
      <c r="H85" s="16">
        <f>C85*1000/F85</f>
        <v>40.713562648486729</v>
      </c>
      <c r="I85" s="16">
        <f>B85*1000/F85</f>
        <v>25.569245601349724</v>
      </c>
      <c r="J85" s="5">
        <f t="shared" si="1"/>
        <v>6.929928079454431E-4</v>
      </c>
      <c r="K85" s="5">
        <f>LN(H86)-LN(H85)</f>
        <v>1.9303498662976537E-2</v>
      </c>
      <c r="L85" s="5">
        <f>LN(I86)-LN(I85)</f>
        <v>1.2948275179931912E-2</v>
      </c>
    </row>
    <row r="86" spans="1:12" x14ac:dyDescent="0.5">
      <c r="A86" s="11">
        <v>26665</v>
      </c>
      <c r="B86" s="12">
        <v>3780.8290000000002</v>
      </c>
      <c r="C86" s="12">
        <v>6058.5439999999999</v>
      </c>
      <c r="D86" s="12">
        <v>22.736000000000001</v>
      </c>
      <c r="E86" s="13">
        <v>5.7</v>
      </c>
      <c r="F86" s="14">
        <v>145964</v>
      </c>
      <c r="G86" s="15">
        <f t="shared" si="0"/>
        <v>1.527680183797564E-2</v>
      </c>
      <c r="H86" s="16">
        <f>C86*1000/F86</f>
        <v>41.507111342522812</v>
      </c>
      <c r="I86" s="16">
        <f>B86*1000/F86</f>
        <v>25.902475952974704</v>
      </c>
      <c r="J86" s="5">
        <f t="shared" si="1"/>
        <v>-1.0268018379756393E-3</v>
      </c>
      <c r="K86" s="5">
        <f>LN(H87)-LN(H86)</f>
        <v>5.6626003831561356E-3</v>
      </c>
      <c r="L86" s="5">
        <f>LN(I87)-LN(I86)</f>
        <v>-5.6167889483504929E-3</v>
      </c>
    </row>
    <row r="87" spans="1:12" x14ac:dyDescent="0.5">
      <c r="A87" s="11">
        <v>26755</v>
      </c>
      <c r="B87" s="12">
        <v>3779.125</v>
      </c>
      <c r="C87" s="12">
        <v>6124.5060000000003</v>
      </c>
      <c r="D87" s="12">
        <v>23.085999999999999</v>
      </c>
      <c r="E87" s="13">
        <v>6.6</v>
      </c>
      <c r="F87" s="14">
        <v>146720</v>
      </c>
      <c r="G87" s="15">
        <f t="shared" si="0"/>
        <v>1.9262301660385006E-2</v>
      </c>
      <c r="H87" s="16">
        <f>C87*1000/F87</f>
        <v>41.742816248636856</v>
      </c>
      <c r="I87" s="16">
        <f>B87*1000/F87</f>
        <v>25.757395038167939</v>
      </c>
      <c r="J87" s="5">
        <f t="shared" si="1"/>
        <v>-2.7623016603850054E-3</v>
      </c>
      <c r="K87" s="5">
        <f>LN(H88)-LN(H87)</f>
        <v>-1.0425260848542006E-2</v>
      </c>
      <c r="L87" s="5">
        <f>LN(I88)-LN(I87)</f>
        <v>-1.639585103978991E-3</v>
      </c>
    </row>
    <row r="88" spans="1:12" x14ac:dyDescent="0.5">
      <c r="A88" s="11">
        <v>26846</v>
      </c>
      <c r="B88" s="12">
        <v>3792.4259999999999</v>
      </c>
      <c r="C88" s="12">
        <v>6092.3010000000004</v>
      </c>
      <c r="D88" s="12">
        <v>23.535</v>
      </c>
      <c r="E88" s="13">
        <v>8.32</v>
      </c>
      <c r="F88" s="14">
        <v>147478</v>
      </c>
      <c r="G88" s="15">
        <f t="shared" si="0"/>
        <v>1.97318082741611E-2</v>
      </c>
      <c r="H88" s="16">
        <f>C88*1000/F88</f>
        <v>41.309897069393401</v>
      </c>
      <c r="I88" s="16">
        <f>B88*1000/F88</f>
        <v>25.715198199053418</v>
      </c>
      <c r="J88" s="5">
        <f t="shared" si="1"/>
        <v>1.068191725838899E-3</v>
      </c>
      <c r="K88" s="5">
        <f>LN(H89)-LN(H88)</f>
        <v>4.3884155734121855E-3</v>
      </c>
      <c r="L88" s="5">
        <f>LN(I89)-LN(I88)</f>
        <v>-8.0461041325077254E-3</v>
      </c>
    </row>
    <row r="89" spans="1:12" x14ac:dyDescent="0.5">
      <c r="A89" s="11">
        <v>26938</v>
      </c>
      <c r="B89" s="12">
        <v>3781.1149999999998</v>
      </c>
      <c r="C89" s="12">
        <v>6150.1310000000003</v>
      </c>
      <c r="D89" s="12">
        <v>24.004000000000001</v>
      </c>
      <c r="E89" s="13">
        <v>7.5</v>
      </c>
      <c r="F89" s="14">
        <v>148226</v>
      </c>
      <c r="G89" s="15">
        <f t="shared" si="0"/>
        <v>1.8695990386507155E-2</v>
      </c>
      <c r="H89" s="16">
        <f>C89*1000/F89</f>
        <v>41.491580424486934</v>
      </c>
      <c r="I89" s="16">
        <f>B89*1000/F89</f>
        <v>25.509121206805823</v>
      </c>
      <c r="J89" s="5">
        <f t="shared" si="1"/>
        <v>5.4009613492844027E-5</v>
      </c>
      <c r="K89" s="5">
        <f>LN(H90)-LN(H89)</f>
        <v>-1.3755138227154795E-2</v>
      </c>
      <c r="L89" s="5">
        <f>LN(I90)-LN(I89)</f>
        <v>-1.4108012798768055E-2</v>
      </c>
    </row>
    <row r="90" spans="1:12" x14ac:dyDescent="0.5">
      <c r="A90" s="11">
        <v>27030</v>
      </c>
      <c r="B90" s="12">
        <v>3747.2860000000001</v>
      </c>
      <c r="C90" s="12">
        <v>6097.2579999999998</v>
      </c>
      <c r="D90" s="12">
        <v>24.457000000000001</v>
      </c>
      <c r="E90" s="13">
        <v>7.62</v>
      </c>
      <c r="F90" s="14">
        <v>148987</v>
      </c>
      <c r="G90" s="15">
        <f t="shared" si="0"/>
        <v>2.3358372268134087E-2</v>
      </c>
      <c r="H90" s="16">
        <f>C90*1000/F90</f>
        <v>40.924765247974655</v>
      </c>
      <c r="I90" s="16">
        <f>B90*1000/F90</f>
        <v>25.151764919086901</v>
      </c>
      <c r="J90" s="5">
        <f t="shared" si="1"/>
        <v>-4.3083722681340857E-3</v>
      </c>
      <c r="K90" s="5">
        <f>LN(H91)-LN(H90)</f>
        <v>-2.714000006853734E-3</v>
      </c>
      <c r="L90" s="5">
        <f>LN(I91)-LN(I90)</f>
        <v>-1.4938774226598284E-3</v>
      </c>
    </row>
    <row r="91" spans="1:12" x14ac:dyDescent="0.5">
      <c r="A91" s="11">
        <v>27120</v>
      </c>
      <c r="B91" s="12">
        <v>3760.779</v>
      </c>
      <c r="C91" s="12">
        <v>6111.7510000000002</v>
      </c>
      <c r="D91" s="12">
        <v>25.035</v>
      </c>
      <c r="E91" s="13">
        <v>8.15</v>
      </c>
      <c r="F91" s="14">
        <v>149747</v>
      </c>
      <c r="G91" s="15">
        <f t="shared" si="0"/>
        <v>2.8897373317642749E-2</v>
      </c>
      <c r="H91" s="16">
        <f>C91*1000/F91</f>
        <v>40.813846020287549</v>
      </c>
      <c r="I91" s="16">
        <f>B91*1000/F91</f>
        <v>25.114219316580634</v>
      </c>
      <c r="J91" s="5">
        <f t="shared" si="1"/>
        <v>-8.5223733176427487E-3</v>
      </c>
      <c r="K91" s="5">
        <f>LN(H92)-LN(H91)</f>
        <v>-1.4500326531819319E-2</v>
      </c>
      <c r="L91" s="5">
        <f>LN(I92)-LN(I91)</f>
        <v>-7.1613906027501173E-4</v>
      </c>
    </row>
    <row r="92" spans="1:12" x14ac:dyDescent="0.5">
      <c r="A92" s="11">
        <v>27211</v>
      </c>
      <c r="B92" s="12">
        <v>3776.9340000000002</v>
      </c>
      <c r="C92" s="12">
        <v>6053.9780000000001</v>
      </c>
      <c r="D92" s="12">
        <v>25.768999999999998</v>
      </c>
      <c r="E92" s="13">
        <v>8.19</v>
      </c>
      <c r="F92" s="14">
        <v>150498</v>
      </c>
      <c r="G92" s="15">
        <f t="shared" si="0"/>
        <v>2.8990863123520505E-2</v>
      </c>
      <c r="H92" s="16">
        <f>C92*1000/F92</f>
        <v>40.226302010657946</v>
      </c>
      <c r="I92" s="16">
        <f>B92*1000/F92</f>
        <v>25.096240481601086</v>
      </c>
      <c r="J92" s="5">
        <f t="shared" si="1"/>
        <v>-8.5158631235205048E-3</v>
      </c>
      <c r="K92" s="5">
        <f>LN(H93)-LN(H92)</f>
        <v>-8.8957566237257701E-3</v>
      </c>
      <c r="L92" s="5">
        <f>LN(I93)-LN(I92)</f>
        <v>-1.9729166577746593E-2</v>
      </c>
    </row>
    <row r="93" spans="1:12" x14ac:dyDescent="0.5">
      <c r="A93" s="11">
        <v>27303</v>
      </c>
      <c r="B93" s="12">
        <v>3721.7260000000001</v>
      </c>
      <c r="C93" s="12">
        <v>6030.4639999999999</v>
      </c>
      <c r="D93" s="12">
        <v>26.527000000000001</v>
      </c>
      <c r="E93" s="13">
        <v>7.36</v>
      </c>
      <c r="F93" s="14">
        <v>151253</v>
      </c>
      <c r="G93" s="15">
        <f t="shared" si="0"/>
        <v>2.2477044447769323E-2</v>
      </c>
      <c r="H93" s="16">
        <f>C93*1000/F93</f>
        <v>39.870045552815483</v>
      </c>
      <c r="I93" s="16">
        <f>B93*1000/F93</f>
        <v>24.605964840366802</v>
      </c>
      <c r="J93" s="5">
        <f t="shared" si="1"/>
        <v>-4.0770444477693235E-3</v>
      </c>
      <c r="K93" s="5">
        <f>LN(H94)-LN(H93)</f>
        <v>-1.7092141747049983E-2</v>
      </c>
      <c r="L93" s="5">
        <f>LN(I94)-LN(I93)</f>
        <v>3.511467107387034E-3</v>
      </c>
    </row>
    <row r="94" spans="1:12" x14ac:dyDescent="0.5">
      <c r="A94" s="11">
        <v>27395</v>
      </c>
      <c r="B94" s="12">
        <v>3752.942</v>
      </c>
      <c r="C94" s="12">
        <v>5957.0349999999999</v>
      </c>
      <c r="D94" s="12">
        <v>27.13</v>
      </c>
      <c r="E94" s="13">
        <v>5.75</v>
      </c>
      <c r="F94" s="14">
        <v>151987</v>
      </c>
      <c r="G94" s="15">
        <f t="shared" si="0"/>
        <v>1.4745158577167405E-2</v>
      </c>
      <c r="H94" s="16">
        <f>C94*1000/F94</f>
        <v>39.194371887069288</v>
      </c>
      <c r="I94" s="16">
        <f>B94*1000/F94</f>
        <v>24.692519754979045</v>
      </c>
      <c r="J94" s="5">
        <f t="shared" si="1"/>
        <v>-3.7015857716740479E-4</v>
      </c>
      <c r="K94" s="5">
        <f>LN(H95)-LN(H94)</f>
        <v>2.3889827583629675E-3</v>
      </c>
      <c r="L94" s="5">
        <f>LN(I95)-LN(I94)</f>
        <v>1.1582008613931549E-2</v>
      </c>
    </row>
    <row r="95" spans="1:12" x14ac:dyDescent="0.5">
      <c r="A95" s="11">
        <v>27485</v>
      </c>
      <c r="B95" s="12">
        <v>3814.672</v>
      </c>
      <c r="C95" s="12">
        <v>5999.61</v>
      </c>
      <c r="D95" s="12">
        <v>27.533000000000001</v>
      </c>
      <c r="E95" s="13">
        <v>5.39</v>
      </c>
      <c r="F95" s="14">
        <v>152708</v>
      </c>
      <c r="G95" s="15">
        <f t="shared" si="0"/>
        <v>1.7497566230273875E-2</v>
      </c>
      <c r="H95" s="16">
        <f>C95*1000/F95</f>
        <v>39.288118500667942</v>
      </c>
      <c r="I95" s="16">
        <f>B95*1000/F95</f>
        <v>24.980171307331638</v>
      </c>
      <c r="J95" s="5">
        <f t="shared" si="1"/>
        <v>-4.0225662302738763E-3</v>
      </c>
      <c r="K95" s="5">
        <f>LN(H96)-LN(H95)</f>
        <v>1.1288051401810328E-2</v>
      </c>
      <c r="L95" s="5">
        <f>LN(I96)-LN(I95)</f>
        <v>8.4252096349692884E-3</v>
      </c>
    </row>
    <row r="96" spans="1:12" x14ac:dyDescent="0.5">
      <c r="A96" s="11">
        <v>27576</v>
      </c>
      <c r="B96" s="12">
        <v>3868.8890000000001</v>
      </c>
      <c r="C96" s="12">
        <v>6102.326</v>
      </c>
      <c r="D96" s="12">
        <v>28.018999999999998</v>
      </c>
      <c r="E96" s="13">
        <v>6.33</v>
      </c>
      <c r="F96" s="14">
        <v>153579</v>
      </c>
      <c r="G96" s="15">
        <f t="shared" si="0"/>
        <v>1.6600094497194906E-2</v>
      </c>
      <c r="H96" s="16">
        <f>C96*1000/F96</f>
        <v>39.734117294682214</v>
      </c>
      <c r="I96" s="16">
        <f>B96*1000/F96</f>
        <v>25.191523580697883</v>
      </c>
      <c r="J96" s="5">
        <f t="shared" si="1"/>
        <v>-7.7509449719490725E-4</v>
      </c>
      <c r="K96" s="5">
        <f>LN(H97)-LN(H96)</f>
        <v>8.4640514141516299E-3</v>
      </c>
      <c r="L96" s="5">
        <f>LN(I97)-LN(I96)</f>
        <v>5.7788602904391695E-3</v>
      </c>
    </row>
    <row r="97" spans="1:12" x14ac:dyDescent="0.5">
      <c r="A97" s="11">
        <v>27668</v>
      </c>
      <c r="B97" s="12">
        <v>3910.4920000000002</v>
      </c>
      <c r="C97" s="12">
        <v>6184.53</v>
      </c>
      <c r="D97" s="12">
        <v>28.488</v>
      </c>
      <c r="E97" s="13">
        <v>5.63</v>
      </c>
      <c r="F97" s="14">
        <v>154336</v>
      </c>
      <c r="G97" s="15">
        <f t="shared" si="0"/>
        <v>1.0510423762621457E-2</v>
      </c>
      <c r="H97" s="16">
        <f>C97*1000/F97</f>
        <v>40.071856209827907</v>
      </c>
      <c r="I97" s="16">
        <f>B97*1000/F97</f>
        <v>25.337523325730874</v>
      </c>
      <c r="J97" s="5">
        <f t="shared" si="1"/>
        <v>3.564576237378542E-3</v>
      </c>
      <c r="K97" s="5">
        <f>LN(H98)-LN(H97)</f>
        <v>1.7468575330034763E-2</v>
      </c>
      <c r="L97" s="5">
        <f>LN(I98)-LN(I97)</f>
        <v>1.5019572714090934E-2</v>
      </c>
    </row>
    <row r="98" spans="1:12" x14ac:dyDescent="0.5">
      <c r="A98" s="11">
        <v>27760</v>
      </c>
      <c r="B98" s="12">
        <v>3988.6770000000001</v>
      </c>
      <c r="C98" s="12">
        <v>6323.6490000000003</v>
      </c>
      <c r="D98" s="12">
        <v>28.789000000000001</v>
      </c>
      <c r="E98" s="13">
        <v>4.92</v>
      </c>
      <c r="F98" s="14">
        <v>155075</v>
      </c>
      <c r="G98" s="15">
        <f t="shared" si="0"/>
        <v>1.0022894440482322E-2</v>
      </c>
      <c r="H98" s="16">
        <f>C98*1000/F98</f>
        <v>40.778004191520232</v>
      </c>
      <c r="I98" s="16">
        <f>B98*1000/F98</f>
        <v>25.720954376914396</v>
      </c>
      <c r="J98" s="5">
        <f t="shared" si="1"/>
        <v>2.2771055595176785E-3</v>
      </c>
      <c r="K98" s="5">
        <f>LN(H99)-LN(H98)</f>
        <v>2.8096112273936491E-3</v>
      </c>
      <c r="L98" s="5">
        <f>LN(I99)-LN(I98)</f>
        <v>4.6611092274266852E-3</v>
      </c>
    </row>
    <row r="99" spans="1:12" x14ac:dyDescent="0.5">
      <c r="A99" s="11">
        <v>27851</v>
      </c>
      <c r="B99" s="12">
        <v>4025.375</v>
      </c>
      <c r="C99" s="12">
        <v>6370.0249999999996</v>
      </c>
      <c r="D99" s="12">
        <v>29.079000000000001</v>
      </c>
      <c r="E99" s="13">
        <v>5.16</v>
      </c>
      <c r="F99" s="14">
        <v>155774</v>
      </c>
      <c r="G99" s="15">
        <f t="shared" si="0"/>
        <v>1.2847410795070235E-2</v>
      </c>
      <c r="H99" s="16">
        <f>C99*1000/F99</f>
        <v>40.892735629822695</v>
      </c>
      <c r="I99" s="16">
        <f>B99*1000/F99</f>
        <v>25.841122395264936</v>
      </c>
      <c r="J99" s="5">
        <f t="shared" si="1"/>
        <v>5.2589204929764585E-5</v>
      </c>
      <c r="K99" s="5">
        <f>LN(H100)-LN(H99)</f>
        <v>6.3686738157997524E-4</v>
      </c>
      <c r="L99" s="5">
        <f>LN(I100)-LN(I99)</f>
        <v>5.6513874893444616E-3</v>
      </c>
    </row>
    <row r="100" spans="1:12" x14ac:dyDescent="0.5">
      <c r="A100" s="11">
        <v>27942</v>
      </c>
      <c r="B100" s="12">
        <v>4067.7570000000001</v>
      </c>
      <c r="C100" s="12">
        <v>6404.8950000000004</v>
      </c>
      <c r="D100" s="12">
        <v>29.454999999999998</v>
      </c>
      <c r="E100" s="13">
        <v>5.15</v>
      </c>
      <c r="F100" s="14">
        <v>156527</v>
      </c>
      <c r="G100" s="15">
        <f t="shared" si="0"/>
        <v>1.7766879405602509E-2</v>
      </c>
      <c r="H100" s="16">
        <f>C100*1000/F100</f>
        <v>40.918787174097758</v>
      </c>
      <c r="I100" s="16">
        <f>B100*1000/F100</f>
        <v>25.987574028761809</v>
      </c>
      <c r="J100" s="5">
        <f t="shared" si="1"/>
        <v>-4.8918794056025082E-3</v>
      </c>
      <c r="K100" s="5">
        <f>LN(H101)-LN(H100)</f>
        <v>2.7697527573367076E-3</v>
      </c>
      <c r="L100" s="5">
        <f>LN(I101)-LN(I100)</f>
        <v>8.4612098468239694E-3</v>
      </c>
    </row>
    <row r="101" spans="1:12" x14ac:dyDescent="0.5">
      <c r="A101" s="11">
        <v>28034</v>
      </c>
      <c r="B101" s="12">
        <v>4120.5360000000001</v>
      </c>
      <c r="C101" s="12">
        <v>6451.1769999999997</v>
      </c>
      <c r="D101" s="12">
        <v>29.983000000000001</v>
      </c>
      <c r="E101" s="13">
        <v>4.67</v>
      </c>
      <c r="F101" s="14">
        <v>157222</v>
      </c>
      <c r="G101" s="15">
        <f t="shared" si="0"/>
        <v>1.594792932120459E-2</v>
      </c>
      <c r="H101" s="16">
        <f>C101*1000/F101</f>
        <v>41.032279197567767</v>
      </c>
      <c r="I101" s="16">
        <f>B101*1000/F101</f>
        <v>26.208393227410923</v>
      </c>
      <c r="J101" s="5">
        <f t="shared" si="1"/>
        <v>-4.2729293212045907E-3</v>
      </c>
      <c r="K101" s="5">
        <f>LN(H102)-LN(H101)</f>
        <v>7.4197616559015245E-3</v>
      </c>
      <c r="L101" s="5">
        <f>LN(I102)-LN(I101)</f>
        <v>7.3451287637018581E-3</v>
      </c>
    </row>
    <row r="102" spans="1:12" x14ac:dyDescent="0.5">
      <c r="A102" s="11">
        <v>28126</v>
      </c>
      <c r="B102" s="12">
        <v>4169.1040000000003</v>
      </c>
      <c r="C102" s="12">
        <v>6527.7030000000004</v>
      </c>
      <c r="D102" s="12">
        <v>30.465</v>
      </c>
      <c r="E102" s="13">
        <v>4.63</v>
      </c>
      <c r="F102" s="14">
        <v>157911</v>
      </c>
      <c r="G102" s="15">
        <f t="shared" si="0"/>
        <v>1.4015874812485229E-2</v>
      </c>
      <c r="H102" s="16">
        <f>C102*1000/F102</f>
        <v>41.337861200296366</v>
      </c>
      <c r="I102" s="16">
        <f>B102*1000/F102</f>
        <v>26.401605967918641</v>
      </c>
      <c r="J102" s="5">
        <f t="shared" si="1"/>
        <v>-2.4408748124852293E-3</v>
      </c>
      <c r="K102" s="5">
        <f>LN(H103)-LN(H102)</f>
        <v>1.4551546767327395E-2</v>
      </c>
      <c r="L102" s="5">
        <f>LN(I103)-LN(I102)</f>
        <v>7.2631804849221382E-4</v>
      </c>
    </row>
    <row r="103" spans="1:12" x14ac:dyDescent="0.5">
      <c r="A103" s="11">
        <v>28216</v>
      </c>
      <c r="B103" s="12">
        <v>4191.7110000000002</v>
      </c>
      <c r="C103" s="12">
        <v>6654.4660000000003</v>
      </c>
      <c r="D103" s="12">
        <v>30.895</v>
      </c>
      <c r="E103" s="13">
        <v>4.84</v>
      </c>
      <c r="F103" s="14">
        <v>158652</v>
      </c>
      <c r="G103" s="15">
        <f t="shared" si="0"/>
        <v>1.2096791978571275E-2</v>
      </c>
      <c r="H103" s="16">
        <f>C103*1000/F103</f>
        <v>41.943788921665025</v>
      </c>
      <c r="I103" s="16">
        <f>B103*1000/F103</f>
        <v>26.420788896452617</v>
      </c>
      <c r="J103" s="5">
        <f t="shared" si="1"/>
        <v>3.2080214287244502E-6</v>
      </c>
      <c r="K103" s="5">
        <f>LN(H104)-LN(H103)</f>
        <v>1.2979177642079787E-2</v>
      </c>
      <c r="L103" s="5">
        <f>LN(I104)-LN(I103)</f>
        <v>4.5190755146657935E-3</v>
      </c>
    </row>
    <row r="104" spans="1:12" x14ac:dyDescent="0.5">
      <c r="A104" s="11">
        <v>28307</v>
      </c>
      <c r="B104" s="12">
        <v>4231.3450000000003</v>
      </c>
      <c r="C104" s="12">
        <v>6774.4570000000003</v>
      </c>
      <c r="D104" s="12">
        <v>31.271000000000001</v>
      </c>
      <c r="E104" s="13">
        <v>5.5</v>
      </c>
      <c r="F104" s="14">
        <v>159430</v>
      </c>
      <c r="G104" s="15">
        <f t="shared" si="0"/>
        <v>2.1387129209842204E-2</v>
      </c>
      <c r="H104" s="16">
        <f>C104*1000/F104</f>
        <v>42.491733048987015</v>
      </c>
      <c r="I104" s="16">
        <f>B104*1000/F104</f>
        <v>26.540456626732734</v>
      </c>
      <c r="J104" s="5">
        <f t="shared" si="1"/>
        <v>-7.6371292098422038E-3</v>
      </c>
      <c r="K104" s="5">
        <f>LN(H105)-LN(H104)</f>
        <v>-4.4235506273424541E-3</v>
      </c>
      <c r="L104" s="5">
        <f>LN(I105)-LN(I104)</f>
        <v>1.048001874682658E-2</v>
      </c>
    </row>
    <row r="105" spans="1:12" x14ac:dyDescent="0.5">
      <c r="A105" s="11">
        <v>28399</v>
      </c>
      <c r="B105" s="12">
        <v>4294.9650000000001</v>
      </c>
      <c r="C105" s="12">
        <v>6774.5919999999996</v>
      </c>
      <c r="D105" s="12">
        <v>31.946999999999999</v>
      </c>
      <c r="E105" s="13">
        <v>6.11</v>
      </c>
      <c r="F105" s="14">
        <v>160140</v>
      </c>
      <c r="G105" s="15">
        <f t="shared" si="0"/>
        <v>1.4419591650586927E-2</v>
      </c>
      <c r="H105" s="16">
        <f>C105*1000/F105</f>
        <v>42.304183839140755</v>
      </c>
      <c r="I105" s="16">
        <f>B105*1000/F105</f>
        <v>26.820063694267517</v>
      </c>
      <c r="J105" s="5">
        <f t="shared" si="1"/>
        <v>8.5540834941307334E-4</v>
      </c>
      <c r="K105" s="5">
        <f>LN(H106)-LN(H105)</f>
        <v>-1.0999387718819698E-3</v>
      </c>
      <c r="L105" s="5">
        <f>LN(I106)-LN(I105)</f>
        <v>1.3089955481859761E-3</v>
      </c>
    </row>
    <row r="106" spans="1:12" x14ac:dyDescent="0.5">
      <c r="A106" s="11">
        <v>28491</v>
      </c>
      <c r="B106" s="12">
        <v>4319.0940000000001</v>
      </c>
      <c r="C106" s="12">
        <v>6796.26</v>
      </c>
      <c r="D106" s="12">
        <v>32.411000000000001</v>
      </c>
      <c r="E106" s="13">
        <v>6.39</v>
      </c>
      <c r="F106" s="14">
        <v>160829</v>
      </c>
      <c r="G106" s="15">
        <f t="shared" si="0"/>
        <v>1.8948643099575779E-2</v>
      </c>
      <c r="H106" s="16">
        <f>C106*1000/F106</f>
        <v>42.257677408925005</v>
      </c>
      <c r="I106" s="16">
        <f>B106*1000/F106</f>
        <v>26.855194025953033</v>
      </c>
      <c r="J106" s="5">
        <f t="shared" si="1"/>
        <v>-2.9736430995757797E-3</v>
      </c>
      <c r="K106" s="5">
        <f>LN(H107)-LN(H106)</f>
        <v>3.3601363721079913E-2</v>
      </c>
      <c r="L106" s="5">
        <f>LN(I107)-LN(I106)</f>
        <v>1.6835227878779779E-2</v>
      </c>
    </row>
    <row r="107" spans="1:12" x14ac:dyDescent="0.5">
      <c r="A107" s="11">
        <v>28581</v>
      </c>
      <c r="B107" s="12">
        <v>4411.4309999999996</v>
      </c>
      <c r="C107" s="12">
        <v>7058.92</v>
      </c>
      <c r="D107" s="12">
        <v>33.030999999999999</v>
      </c>
      <c r="E107" s="13">
        <v>6.48</v>
      </c>
      <c r="F107" s="14">
        <v>161525</v>
      </c>
      <c r="G107" s="15">
        <f t="shared" si="0"/>
        <v>1.6841428930372881E-2</v>
      </c>
      <c r="H107" s="16">
        <f>C107*1000/F107</f>
        <v>43.701718000309548</v>
      </c>
      <c r="I107" s="16">
        <f>B107*1000/F107</f>
        <v>27.311134499303513</v>
      </c>
      <c r="J107" s="5">
        <f t="shared" si="1"/>
        <v>-6.4142893037287887E-4</v>
      </c>
      <c r="K107" s="5">
        <f>LN(H108)-LN(H107)</f>
        <v>5.4363758077116131E-3</v>
      </c>
      <c r="L107" s="5">
        <f>LN(I108)-LN(I107)</f>
        <v>-3.8057241703581823E-4</v>
      </c>
    </row>
    <row r="108" spans="1:12" x14ac:dyDescent="0.5">
      <c r="A108" s="11">
        <v>28672</v>
      </c>
      <c r="B108" s="12">
        <v>4429.9549999999999</v>
      </c>
      <c r="C108" s="12">
        <v>7129.915</v>
      </c>
      <c r="D108" s="12">
        <v>33.591999999999999</v>
      </c>
      <c r="E108" s="13">
        <v>7.31</v>
      </c>
      <c r="F108" s="14">
        <v>162265</v>
      </c>
      <c r="G108" s="15">
        <f t="shared" si="0"/>
        <v>2.024497839360162E-2</v>
      </c>
      <c r="H108" s="16">
        <f>C108*1000/F108</f>
        <v>43.939943918898102</v>
      </c>
      <c r="I108" s="16">
        <f>B108*1000/F108</f>
        <v>27.300742612393307</v>
      </c>
      <c r="J108" s="5">
        <f t="shared" si="1"/>
        <v>-1.9699783936016207E-3</v>
      </c>
      <c r="K108" s="5">
        <f>LN(H109)-LN(H108)</f>
        <v>8.6850939448557263E-3</v>
      </c>
      <c r="L108" s="5">
        <f>LN(I109)-LN(I108)</f>
        <v>3.3703708246815012E-3</v>
      </c>
    </row>
    <row r="109" spans="1:12" x14ac:dyDescent="0.5">
      <c r="A109" s="11">
        <v>28764</v>
      </c>
      <c r="B109" s="12">
        <v>4465.7020000000002</v>
      </c>
      <c r="C109" s="12">
        <v>7225.75</v>
      </c>
      <c r="D109" s="12">
        <v>34.279000000000003</v>
      </c>
      <c r="E109" s="13">
        <v>8.57</v>
      </c>
      <c r="F109" s="14">
        <v>163024</v>
      </c>
      <c r="G109" s="15">
        <f t="shared" si="0"/>
        <v>1.8068514045814776E-2</v>
      </c>
      <c r="H109" s="16">
        <f>C109*1000/F109</f>
        <v>44.323228481695949</v>
      </c>
      <c r="I109" s="16">
        <f>B109*1000/F109</f>
        <v>27.392911473157326</v>
      </c>
      <c r="J109" s="5">
        <f t="shared" si="1"/>
        <v>3.3564859541852232E-3</v>
      </c>
      <c r="K109" s="5">
        <f>LN(H110)-LN(H109)</f>
        <v>-2.6857584642487886E-3</v>
      </c>
      <c r="L109" s="5">
        <f>LN(I110)-LN(I109)</f>
        <v>6.8557808482738736E-4</v>
      </c>
    </row>
    <row r="110" spans="1:12" x14ac:dyDescent="0.5">
      <c r="A110" s="11">
        <v>28856</v>
      </c>
      <c r="B110" s="12">
        <v>4488.83</v>
      </c>
      <c r="C110" s="12">
        <v>7238.7269999999999</v>
      </c>
      <c r="D110" s="12">
        <v>34.904000000000003</v>
      </c>
      <c r="E110" s="13">
        <v>9.3800000000000008</v>
      </c>
      <c r="F110" s="14">
        <v>163756</v>
      </c>
      <c r="G110" s="15">
        <f t="shared" si="0"/>
        <v>2.4200549887182454E-2</v>
      </c>
      <c r="H110" s="16">
        <f>C110*1000/F110</f>
        <v>44.204346710960209</v>
      </c>
      <c r="I110" s="16">
        <f>B110*1000/F110</f>
        <v>27.411697891985636</v>
      </c>
      <c r="J110" s="5">
        <f t="shared" si="1"/>
        <v>-7.5054988718245216E-4</v>
      </c>
      <c r="K110" s="5">
        <f>LN(H111)-LN(H110)</f>
        <v>-3.1439312167265143E-3</v>
      </c>
      <c r="L110" s="5">
        <f>LN(I111)-LN(I110)</f>
        <v>-4.8601925084943431E-3</v>
      </c>
    </row>
    <row r="111" spans="1:12" x14ac:dyDescent="0.5">
      <c r="A111" s="11">
        <v>28946</v>
      </c>
      <c r="B111" s="12">
        <v>4485.9160000000002</v>
      </c>
      <c r="C111" s="12">
        <v>7246.4539999999997</v>
      </c>
      <c r="D111" s="12">
        <v>35.759</v>
      </c>
      <c r="E111" s="13">
        <v>9.3800000000000008</v>
      </c>
      <c r="F111" s="14">
        <v>164447</v>
      </c>
      <c r="G111" s="15">
        <f t="shared" si="0"/>
        <v>2.1632932135639216E-2</v>
      </c>
      <c r="H111" s="16">
        <f>C111*1000/F111</f>
        <v>44.065589521243929</v>
      </c>
      <c r="I111" s="16">
        <f>B111*1000/F111</f>
        <v>27.278794991699453</v>
      </c>
      <c r="J111" s="5">
        <f t="shared" si="1"/>
        <v>1.8170678643607864E-3</v>
      </c>
      <c r="K111" s="5">
        <f>LN(H112)-LN(H111)</f>
        <v>2.8320635508389813E-3</v>
      </c>
      <c r="L111" s="5">
        <f>LN(I112)-LN(I111)</f>
        <v>5.1153284632015072E-3</v>
      </c>
    </row>
    <row r="112" spans="1:12" x14ac:dyDescent="0.5">
      <c r="A112" s="11">
        <v>29037</v>
      </c>
      <c r="B112" s="12">
        <v>4529.5680000000002</v>
      </c>
      <c r="C112" s="12">
        <v>7300.2809999999999</v>
      </c>
      <c r="D112" s="12">
        <v>36.540999999999997</v>
      </c>
      <c r="E112" s="13">
        <v>9.67</v>
      </c>
      <c r="F112" s="14">
        <v>165200</v>
      </c>
      <c r="G112" s="15">
        <f t="shared" si="0"/>
        <v>1.8384465733384481E-2</v>
      </c>
      <c r="H112" s="16">
        <f>C112*1000/F112</f>
        <v>44.190562953995155</v>
      </c>
      <c r="I112" s="16">
        <f>B112*1000/F112</f>
        <v>27.418692493946732</v>
      </c>
      <c r="J112" s="5">
        <f t="shared" si="1"/>
        <v>5.7905342666155178E-3</v>
      </c>
      <c r="K112" s="5">
        <f>LN(H113)-LN(H112)</f>
        <v>-2.664866927757803E-3</v>
      </c>
      <c r="L112" s="5">
        <f>LN(I113)-LN(I112)</f>
        <v>-2.6769716622085937E-3</v>
      </c>
    </row>
    <row r="113" spans="1:12" x14ac:dyDescent="0.5">
      <c r="A113" s="11">
        <v>29129</v>
      </c>
      <c r="B113" s="12">
        <v>4540.8389999999999</v>
      </c>
      <c r="C113" s="12">
        <v>7318.5349999999999</v>
      </c>
      <c r="D113" s="12">
        <v>37.219000000000001</v>
      </c>
      <c r="E113" s="13">
        <v>11.84</v>
      </c>
      <c r="F113" s="14">
        <v>166055</v>
      </c>
      <c r="G113" s="15">
        <f t="shared" si="0"/>
        <v>2.079309159209064E-2</v>
      </c>
      <c r="H113" s="16">
        <f>C113*1000/F113</f>
        <v>44.072957754960704</v>
      </c>
      <c r="I113" s="16">
        <f>B113*1000/F113</f>
        <v>27.345391587124748</v>
      </c>
      <c r="J113" s="5">
        <f t="shared" si="1"/>
        <v>8.8069084079093612E-3</v>
      </c>
      <c r="K113" s="5">
        <f>LN(H114)-LN(H113)</f>
        <v>-1.1078133023660897E-3</v>
      </c>
      <c r="L113" s="5">
        <f>LN(I114)-LN(I113)</f>
        <v>-5.679081625866722E-3</v>
      </c>
    </row>
    <row r="114" spans="1:12" x14ac:dyDescent="0.5">
      <c r="A114" s="11">
        <v>29221</v>
      </c>
      <c r="B114" s="12">
        <v>4534.348</v>
      </c>
      <c r="C114" s="12">
        <v>7341.5569999999998</v>
      </c>
      <c r="D114" s="12">
        <v>38.000999999999998</v>
      </c>
      <c r="E114" s="13">
        <v>13.35</v>
      </c>
      <c r="F114" s="14">
        <v>166762</v>
      </c>
      <c r="G114" s="15">
        <f t="shared" si="0"/>
        <v>2.3510301899288155E-2</v>
      </c>
      <c r="H114" s="16">
        <f>C114*1000/F114</f>
        <v>44.024160180376825</v>
      </c>
      <c r="I114" s="16">
        <f>B114*1000/F114</f>
        <v>27.190535013972006</v>
      </c>
      <c r="J114" s="5">
        <f t="shared" si="1"/>
        <v>9.8646981007118467E-3</v>
      </c>
      <c r="K114" s="5">
        <f>LN(H115)-LN(H114)</f>
        <v>-2.4733666545503574E-2</v>
      </c>
      <c r="L114" s="5">
        <f>LN(I115)-LN(I114)</f>
        <v>-2.6692320247127199E-2</v>
      </c>
    </row>
    <row r="115" spans="1:12" x14ac:dyDescent="0.5">
      <c r="A115" s="11">
        <v>29312</v>
      </c>
      <c r="B115" s="12">
        <v>4432.2309999999998</v>
      </c>
      <c r="C115" s="12">
        <v>7190.2889999999998</v>
      </c>
      <c r="D115" s="12">
        <v>38.905000000000001</v>
      </c>
      <c r="E115" s="13">
        <v>9.6199999999999992</v>
      </c>
      <c r="F115" s="14">
        <v>167416</v>
      </c>
      <c r="G115" s="15">
        <f t="shared" si="0"/>
        <v>2.2090655418415928E-2</v>
      </c>
      <c r="H115" s="16">
        <f>C115*1000/F115</f>
        <v>42.94863692837005</v>
      </c>
      <c r="I115" s="16">
        <f>B115*1000/F115</f>
        <v>26.474357289625843</v>
      </c>
      <c r="J115" s="5">
        <f t="shared" si="1"/>
        <v>1.9593445815840708E-3</v>
      </c>
      <c r="K115" s="5">
        <f>LN(H116)-LN(H115)</f>
        <v>-5.3319969556415714E-3</v>
      </c>
      <c r="L115" s="5">
        <f>LN(I116)-LN(I115)</f>
        <v>6.7667258005372766E-3</v>
      </c>
    </row>
    <row r="116" spans="1:12" x14ac:dyDescent="0.5">
      <c r="A116" s="11">
        <v>29403</v>
      </c>
      <c r="B116" s="12">
        <v>4480.8490000000002</v>
      </c>
      <c r="C116" s="12">
        <v>7181.7430000000004</v>
      </c>
      <c r="D116" s="12">
        <v>39.774000000000001</v>
      </c>
      <c r="E116" s="13">
        <v>9.15</v>
      </c>
      <c r="F116" s="14">
        <v>168111</v>
      </c>
      <c r="G116" s="15">
        <f t="shared" si="0"/>
        <v>2.5713716930404917E-2</v>
      </c>
      <c r="H116" s="16">
        <f>C116*1000/F116</f>
        <v>42.720244362355821</v>
      </c>
      <c r="I116" s="16">
        <f>B116*1000/F116</f>
        <v>26.654109487184062</v>
      </c>
      <c r="J116" s="5">
        <f t="shared" si="1"/>
        <v>-2.8387169304049178E-3</v>
      </c>
      <c r="K116" s="5">
        <f>LN(H117)-LN(H116)</f>
        <v>1.5015521173530999E-2</v>
      </c>
      <c r="L116" s="5">
        <f>LN(I117)-LN(I116)</f>
        <v>9.9586478811555246E-3</v>
      </c>
    </row>
    <row r="117" spans="1:12" x14ac:dyDescent="0.5">
      <c r="A117" s="11">
        <v>29495</v>
      </c>
      <c r="B117" s="12">
        <v>4541.3900000000003</v>
      </c>
      <c r="C117" s="12">
        <v>7315.6769999999997</v>
      </c>
      <c r="D117" s="12">
        <v>40.81</v>
      </c>
      <c r="E117" s="13">
        <v>13.61</v>
      </c>
      <c r="F117" s="14">
        <v>168694</v>
      </c>
      <c r="G117" s="15">
        <f t="shared" si="0"/>
        <v>2.6000618188058322E-2</v>
      </c>
      <c r="H117" s="16">
        <f>C117*1000/F117</f>
        <v>43.366551270347493</v>
      </c>
      <c r="I117" s="16">
        <f>B117*1000/F117</f>
        <v>26.920874482791326</v>
      </c>
      <c r="J117" s="5">
        <f t="shared" si="1"/>
        <v>8.0243818119416777E-3</v>
      </c>
      <c r="K117" s="5">
        <f>LN(H118)-LN(H117)</f>
        <v>1.5942908226050712E-2</v>
      </c>
      <c r="L117" s="5">
        <f>LN(I118)-LN(I117)</f>
        <v>-1.1756128053708181E-4</v>
      </c>
    </row>
    <row r="118" spans="1:12" x14ac:dyDescent="0.5">
      <c r="A118" s="11">
        <v>29587</v>
      </c>
      <c r="B118" s="12">
        <v>4556.6030000000001</v>
      </c>
      <c r="C118" s="12">
        <v>7459.0219999999999</v>
      </c>
      <c r="D118" s="12">
        <v>41.884999999999998</v>
      </c>
      <c r="E118" s="13">
        <v>14.39</v>
      </c>
      <c r="F118" s="14">
        <v>169279</v>
      </c>
      <c r="G118" s="15">
        <f t="shared" si="0"/>
        <v>1.9622378997809609E-2</v>
      </c>
      <c r="H118" s="16">
        <f>C118*1000/F118</f>
        <v>44.063480998824424</v>
      </c>
      <c r="I118" s="16">
        <f>B118*1000/F118</f>
        <v>26.917709816338707</v>
      </c>
      <c r="J118" s="5">
        <f t="shared" si="1"/>
        <v>1.6352621002190391E-2</v>
      </c>
      <c r="K118" s="5">
        <f>LN(H119)-LN(H118)</f>
        <v>-1.0729265425788004E-2</v>
      </c>
      <c r="L118" s="5">
        <f>LN(I119)-LN(I118)</f>
        <v>-3.21827307945588E-3</v>
      </c>
    </row>
    <row r="119" spans="1:12" x14ac:dyDescent="0.5">
      <c r="A119" s="11">
        <v>29677</v>
      </c>
      <c r="B119" s="12">
        <v>4556.9340000000002</v>
      </c>
      <c r="C119" s="12">
        <v>7403.7449999999999</v>
      </c>
      <c r="D119" s="12">
        <v>42.715000000000003</v>
      </c>
      <c r="E119" s="13">
        <v>14.91</v>
      </c>
      <c r="F119" s="14">
        <v>169837</v>
      </c>
      <c r="G119" s="15">
        <f t="shared" si="0"/>
        <v>1.8647477738931606E-2</v>
      </c>
      <c r="H119" s="16">
        <f>C119*1000/F119</f>
        <v>43.593239400130713</v>
      </c>
      <c r="I119" s="16">
        <f>B119*1000/F119</f>
        <v>26.831220523207545</v>
      </c>
      <c r="J119" s="5">
        <f t="shared" si="1"/>
        <v>1.8627522261068397E-2</v>
      </c>
      <c r="K119" s="5">
        <f>LN(H120)-LN(H119)</f>
        <v>8.5181384974388763E-3</v>
      </c>
      <c r="L119" s="5">
        <f>LN(I120)-LN(I119)</f>
        <v>1.2292832206157733E-3</v>
      </c>
    </row>
    <row r="120" spans="1:12" x14ac:dyDescent="0.5">
      <c r="A120" s="11">
        <v>29768</v>
      </c>
      <c r="B120" s="12">
        <v>4578.0129999999999</v>
      </c>
      <c r="C120" s="12">
        <v>7492.4049999999997</v>
      </c>
      <c r="D120" s="12">
        <v>43.518999999999998</v>
      </c>
      <c r="E120" s="13">
        <v>15.05</v>
      </c>
      <c r="F120" s="14">
        <v>170413</v>
      </c>
      <c r="G120" s="15">
        <f t="shared" si="0"/>
        <v>1.7132210806908521E-2</v>
      </c>
      <c r="H120" s="16">
        <f>C120*1000/F120</f>
        <v>43.966158685076842</v>
      </c>
      <c r="I120" s="16">
        <f>B120*1000/F120</f>
        <v>26.864223973523146</v>
      </c>
      <c r="J120" s="5">
        <f t="shared" si="1"/>
        <v>2.0492789193091478E-2</v>
      </c>
      <c r="K120" s="5">
        <f>LN(H121)-LN(H120)</f>
        <v>-1.4335935815723566E-2</v>
      </c>
      <c r="L120" s="5">
        <f>LN(I121)-LN(I120)</f>
        <v>-1.0243758730940744E-2</v>
      </c>
    </row>
    <row r="121" spans="1:12" x14ac:dyDescent="0.5">
      <c r="A121" s="11">
        <v>29860</v>
      </c>
      <c r="B121" s="12">
        <v>4546.6989999999996</v>
      </c>
      <c r="C121" s="12">
        <v>7410.768</v>
      </c>
      <c r="D121" s="12">
        <v>44.271000000000001</v>
      </c>
      <c r="E121" s="13">
        <v>11.75</v>
      </c>
      <c r="F121" s="14">
        <v>170990</v>
      </c>
      <c r="G121" s="15">
        <f t="shared" si="0"/>
        <v>1.366242606501844E-2</v>
      </c>
      <c r="H121" s="16">
        <f>C121*1000/F121</f>
        <v>43.340359085326625</v>
      </c>
      <c r="I121" s="16">
        <f>B121*1000/F121</f>
        <v>26.590438037312122</v>
      </c>
      <c r="J121" s="5">
        <f t="shared" si="1"/>
        <v>1.5712573934981558E-2</v>
      </c>
      <c r="K121" s="5">
        <f>LN(H122)-LN(H121)</f>
        <v>-1.8619100308031822E-2</v>
      </c>
      <c r="L121" s="5">
        <f>LN(I122)-LN(I121)</f>
        <v>4.3783083417903157E-3</v>
      </c>
    </row>
    <row r="122" spans="1:12" x14ac:dyDescent="0.5">
      <c r="A122" s="11">
        <v>29952</v>
      </c>
      <c r="B122" s="12">
        <v>4580.1899999999996</v>
      </c>
      <c r="C122" s="12">
        <v>7295.6310000000003</v>
      </c>
      <c r="D122" s="12">
        <v>44.88</v>
      </c>
      <c r="E122" s="13">
        <v>12.81</v>
      </c>
      <c r="F122" s="14">
        <v>171497</v>
      </c>
      <c r="G122" s="15">
        <f t="shared" si="0"/>
        <v>1.2906547113525235E-2</v>
      </c>
      <c r="H122" s="16">
        <f>C122*1000/F122</f>
        <v>42.540866604080534</v>
      </c>
      <c r="I122" s="16">
        <f>B122*1000/F122</f>
        <v>26.707114410164611</v>
      </c>
      <c r="J122" s="5">
        <f t="shared" si="1"/>
        <v>1.9118452886474763E-2</v>
      </c>
      <c r="K122" s="5">
        <f>LN(H123)-LN(H122)</f>
        <v>1.5064225596739256E-3</v>
      </c>
      <c r="L122" s="5">
        <f>LN(I123)-LN(I122)</f>
        <v>-3.4436918308067277E-6</v>
      </c>
    </row>
    <row r="123" spans="1:12" x14ac:dyDescent="0.5">
      <c r="A123" s="11">
        <v>30042</v>
      </c>
      <c r="B123" s="12">
        <v>4594.1419999999998</v>
      </c>
      <c r="C123" s="12">
        <v>7328.9120000000003</v>
      </c>
      <c r="D123" s="12">
        <v>45.463000000000001</v>
      </c>
      <c r="E123" s="13">
        <v>12.42</v>
      </c>
      <c r="F123" s="14">
        <v>172020</v>
      </c>
      <c r="G123" s="15">
        <f t="shared" si="0"/>
        <v>1.408766241079995E-2</v>
      </c>
      <c r="H123" s="16">
        <f>C123*1000/F123</f>
        <v>42.60499941867225</v>
      </c>
      <c r="I123" s="16">
        <f>B123*1000/F123</f>
        <v>26.707022439251251</v>
      </c>
      <c r="J123" s="5">
        <f t="shared" si="1"/>
        <v>1.6962337589200051E-2</v>
      </c>
      <c r="K123" s="5">
        <f>LN(H124)-LN(H123)</f>
        <v>-6.7440088759682659E-3</v>
      </c>
      <c r="L123" s="5">
        <f>LN(I124)-LN(I123)</f>
        <v>3.7671525686486795E-3</v>
      </c>
    </row>
    <row r="124" spans="1:12" x14ac:dyDescent="0.5">
      <c r="A124" s="11">
        <v>30133</v>
      </c>
      <c r="B124" s="12">
        <v>4624.9390000000003</v>
      </c>
      <c r="C124" s="12">
        <v>7300.8959999999997</v>
      </c>
      <c r="D124" s="12">
        <v>46.107999999999997</v>
      </c>
      <c r="E124" s="13">
        <v>9.32</v>
      </c>
      <c r="F124" s="14">
        <v>172522</v>
      </c>
      <c r="G124" s="15">
        <f t="shared" si="0"/>
        <v>1.0313596070396613E-2</v>
      </c>
      <c r="H124" s="16">
        <f>C124*1000/F124</f>
        <v>42.31863762302779</v>
      </c>
      <c r="I124" s="16">
        <f>B124*1000/F124</f>
        <v>26.807821611156839</v>
      </c>
      <c r="J124" s="5">
        <f t="shared" si="1"/>
        <v>1.2986403929603388E-2</v>
      </c>
      <c r="K124" s="5">
        <f>LN(H125)-LN(H124)</f>
        <v>-2.6326826704172746E-3</v>
      </c>
      <c r="L124" s="5">
        <f>LN(I125)-LN(I124)</f>
        <v>1.433243078053037E-2</v>
      </c>
    </row>
    <row r="125" spans="1:12" x14ac:dyDescent="0.5">
      <c r="A125" s="11">
        <v>30225</v>
      </c>
      <c r="B125" s="12">
        <v>4705.9530000000004</v>
      </c>
      <c r="C125" s="12">
        <v>7303.817</v>
      </c>
      <c r="D125" s="12">
        <v>46.585999999999999</v>
      </c>
      <c r="E125" s="13">
        <v>7.91</v>
      </c>
      <c r="F125" s="14">
        <v>173046</v>
      </c>
      <c r="G125" s="15">
        <f t="shared" si="0"/>
        <v>7.5275151218359149E-3</v>
      </c>
      <c r="H125" s="16">
        <f>C125*1000/F125</f>
        <v>42.207372606127848</v>
      </c>
      <c r="I125" s="16">
        <f>B125*1000/F125</f>
        <v>27.194809472625774</v>
      </c>
      <c r="J125" s="5">
        <f t="shared" si="1"/>
        <v>1.2247484878164086E-2</v>
      </c>
      <c r="K125" s="5">
        <f>LN(H126)-LN(H125)</f>
        <v>1.0442868566988395E-2</v>
      </c>
      <c r="L125" s="5">
        <f>LN(I126)-LN(I125)</f>
        <v>7.1895321636294973E-3</v>
      </c>
    </row>
    <row r="126" spans="1:12" x14ac:dyDescent="0.5">
      <c r="A126" s="11">
        <v>30317</v>
      </c>
      <c r="B126" s="12">
        <v>4752.4809999999998</v>
      </c>
      <c r="C126" s="12">
        <v>7400.0659999999998</v>
      </c>
      <c r="D126" s="12">
        <v>46.938000000000002</v>
      </c>
      <c r="E126" s="13">
        <v>8.11</v>
      </c>
      <c r="F126" s="14">
        <v>173505</v>
      </c>
      <c r="G126" s="15">
        <f t="shared" si="0"/>
        <v>7.3866866685690091E-3</v>
      </c>
      <c r="H126" s="16">
        <f>C126*1000/F126</f>
        <v>42.650448113887208</v>
      </c>
      <c r="I126" s="16">
        <f>B126*1000/F126</f>
        <v>27.391031958733176</v>
      </c>
      <c r="J126" s="5">
        <f t="shared" si="1"/>
        <v>1.2888313331430989E-2</v>
      </c>
      <c r="K126" s="5">
        <f>LN(H127)-LN(H126)</f>
        <v>1.9898439723411432E-2</v>
      </c>
      <c r="L126" s="5">
        <f>LN(I127)-LN(I126)</f>
        <v>1.7556356387634864E-2</v>
      </c>
    </row>
    <row r="127" spans="1:12" x14ac:dyDescent="0.5">
      <c r="A127" s="11">
        <v>30407</v>
      </c>
      <c r="B127" s="12">
        <v>4849.2539999999999</v>
      </c>
      <c r="C127" s="12">
        <v>7568.4560000000001</v>
      </c>
      <c r="D127" s="12">
        <v>47.286000000000001</v>
      </c>
      <c r="E127" s="13">
        <v>8.4</v>
      </c>
      <c r="F127" s="14">
        <v>173957</v>
      </c>
      <c r="G127" s="15">
        <f t="shared" si="0"/>
        <v>1.0581218891889232E-2</v>
      </c>
      <c r="H127" s="16">
        <f>C127*1000/F127</f>
        <v>43.507625447668104</v>
      </c>
      <c r="I127" s="16">
        <f>B127*1000/F127</f>
        <v>27.876164799346967</v>
      </c>
      <c r="J127" s="5">
        <f t="shared" si="1"/>
        <v>1.0418781108110769E-2</v>
      </c>
      <c r="K127" s="5">
        <f>LN(H128)-LN(H127)</f>
        <v>1.6968085228971308E-2</v>
      </c>
      <c r="L127" s="5">
        <f>LN(I128)-LN(I127)</f>
        <v>1.4948861089542298E-2</v>
      </c>
    </row>
    <row r="128" spans="1:12" x14ac:dyDescent="0.5">
      <c r="A128" s="11">
        <v>30498</v>
      </c>
      <c r="B128" s="12">
        <v>4936.2110000000002</v>
      </c>
      <c r="C128" s="12">
        <v>7719.7460000000001</v>
      </c>
      <c r="D128" s="12">
        <v>47.789000000000001</v>
      </c>
      <c r="E128" s="13">
        <v>9.14</v>
      </c>
      <c r="F128" s="14">
        <v>174449</v>
      </c>
      <c r="G128" s="15">
        <f t="shared" si="0"/>
        <v>7.5464189690004346E-3</v>
      </c>
      <c r="H128" s="16">
        <f>C128*1000/F128</f>
        <v>44.252165389311486</v>
      </c>
      <c r="I128" s="16">
        <f>B128*1000/F128</f>
        <v>28.296012014972856</v>
      </c>
      <c r="J128" s="5">
        <f t="shared" si="1"/>
        <v>1.5303581030999568E-2</v>
      </c>
      <c r="K128" s="5">
        <f>LN(H129)-LN(H128)</f>
        <v>1.7779414775141333E-2</v>
      </c>
      <c r="L128" s="5">
        <f>LN(I129)-LN(I128)</f>
        <v>1.2942480120137656E-2</v>
      </c>
    </row>
    <row r="129" spans="1:12" x14ac:dyDescent="0.5">
      <c r="A129" s="11">
        <v>30590</v>
      </c>
      <c r="B129" s="12">
        <v>5014.8739999999998</v>
      </c>
      <c r="C129" s="12">
        <v>7880.7939999999999</v>
      </c>
      <c r="D129" s="12">
        <v>48.151000000000003</v>
      </c>
      <c r="E129" s="13">
        <v>8.8000000000000007</v>
      </c>
      <c r="F129" s="14">
        <v>174950</v>
      </c>
      <c r="G129" s="15">
        <f t="shared" si="0"/>
        <v>1.0083771775584616E-2</v>
      </c>
      <c r="H129" s="16">
        <f>C129*1000/F129</f>
        <v>45.045978851100315</v>
      </c>
      <c r="I129" s="16">
        <f>B129*1000/F129</f>
        <v>28.664612746498999</v>
      </c>
      <c r="J129" s="5">
        <f t="shared" si="1"/>
        <v>1.1916228224415387E-2</v>
      </c>
      <c r="K129" s="5">
        <f>LN(H130)-LN(H129)</f>
        <v>1.5201049776878417E-2</v>
      </c>
      <c r="L129" s="5">
        <f>LN(I130)-LN(I129)</f>
        <v>4.106418440975812E-3</v>
      </c>
    </row>
    <row r="130" spans="1:12" x14ac:dyDescent="0.5">
      <c r="A130" s="11">
        <v>30682</v>
      </c>
      <c r="B130" s="12">
        <v>5056.4920000000002</v>
      </c>
      <c r="C130" s="12">
        <v>8034.8469999999998</v>
      </c>
      <c r="D130" s="12">
        <v>48.639000000000003</v>
      </c>
      <c r="E130" s="13">
        <v>9.17</v>
      </c>
      <c r="F130" s="14">
        <v>175679</v>
      </c>
      <c r="G130" s="15">
        <f t="shared" si="0"/>
        <v>8.516439379312235E-3</v>
      </c>
      <c r="H130" s="16">
        <f>C130*1000/F130</f>
        <v>45.73595591960337</v>
      </c>
      <c r="I130" s="16">
        <f>B130*1000/F130</f>
        <v>28.782563653026259</v>
      </c>
      <c r="J130" s="5">
        <f t="shared" si="1"/>
        <v>1.4408560620687766E-2</v>
      </c>
      <c r="K130" s="5">
        <f>LN(H131)-LN(H130)</f>
        <v>1.4594551019138979E-2</v>
      </c>
      <c r="L130" s="5">
        <f>LN(I131)-LN(I130)</f>
        <v>1.1376979604239335E-2</v>
      </c>
    </row>
    <row r="131" spans="1:12" x14ac:dyDescent="0.5">
      <c r="A131" s="11">
        <v>30773</v>
      </c>
      <c r="B131" s="12">
        <v>5127.3320000000003</v>
      </c>
      <c r="C131" s="12">
        <v>8173.67</v>
      </c>
      <c r="D131" s="12">
        <v>49.055</v>
      </c>
      <c r="E131" s="13">
        <v>9.8000000000000007</v>
      </c>
      <c r="F131" s="14">
        <v>176125</v>
      </c>
      <c r="G131" s="15">
        <f t="shared" ref="G131:G194" si="2">LN(D132)-LN(D131)</f>
        <v>8.8487172465430142E-3</v>
      </c>
      <c r="H131" s="16">
        <f>C131*1000/F131</f>
        <v>46.408346344925477</v>
      </c>
      <c r="I131" s="16">
        <f>B131*1000/F131</f>
        <v>29.111892122072391</v>
      </c>
      <c r="J131" s="5">
        <f t="shared" ref="J131:J194" si="3">(E131/400)-G131</f>
        <v>1.5651282753456987E-2</v>
      </c>
      <c r="K131" s="5">
        <f>LN(H132)-LN(H131)</f>
        <v>6.9289262015619357E-3</v>
      </c>
      <c r="L131" s="5">
        <f>LN(I132)-LN(I131)</f>
        <v>4.7237683517207252E-3</v>
      </c>
    </row>
    <row r="132" spans="1:12" x14ac:dyDescent="0.5">
      <c r="A132" s="11">
        <v>30864</v>
      </c>
      <c r="B132" s="12">
        <v>5165.357</v>
      </c>
      <c r="C132" s="12">
        <v>8252.4650000000001</v>
      </c>
      <c r="D132" s="12">
        <v>49.491</v>
      </c>
      <c r="E132" s="13">
        <v>10.32</v>
      </c>
      <c r="F132" s="14">
        <v>176595</v>
      </c>
      <c r="G132" s="15">
        <f t="shared" si="2"/>
        <v>7.4482991896327455E-3</v>
      </c>
      <c r="H132" s="16">
        <f>C132*1000/F132</f>
        <v>46.731022962145019</v>
      </c>
      <c r="I132" s="16">
        <f>B132*1000/F132</f>
        <v>29.249735269968006</v>
      </c>
      <c r="J132" s="5">
        <f t="shared" si="3"/>
        <v>1.8351700810367255E-2</v>
      </c>
      <c r="K132" s="5">
        <f>LN(H133)-LN(H132)</f>
        <v>5.1379870745522638E-3</v>
      </c>
      <c r="L132" s="5">
        <f>LN(I133)-LN(I132)</f>
        <v>9.8339924428847425E-3</v>
      </c>
    </row>
    <row r="133" spans="1:12" x14ac:dyDescent="0.5">
      <c r="A133" s="11">
        <v>30956</v>
      </c>
      <c r="B133" s="12">
        <v>5232.2659999999996</v>
      </c>
      <c r="C133" s="12">
        <v>8320.1990000000005</v>
      </c>
      <c r="D133" s="12">
        <v>49.860999999999997</v>
      </c>
      <c r="E133" s="13">
        <v>8.8000000000000007</v>
      </c>
      <c r="F133" s="14">
        <v>177132</v>
      </c>
      <c r="G133" s="15">
        <f t="shared" si="2"/>
        <v>9.8389258502931121E-3</v>
      </c>
      <c r="H133" s="16">
        <f>C133*1000/F133</f>
        <v>46.971744235937045</v>
      </c>
      <c r="I133" s="16">
        <f>B133*1000/F133</f>
        <v>29.538795926201928</v>
      </c>
      <c r="J133" s="5">
        <f t="shared" si="3"/>
        <v>1.216107414970689E-2</v>
      </c>
      <c r="K133" s="5">
        <f>LN(H134)-LN(H133)</f>
        <v>7.4438197619457469E-3</v>
      </c>
      <c r="L133" s="5">
        <f>LN(I134)-LN(I133)</f>
        <v>1.4647355373655468E-2</v>
      </c>
    </row>
    <row r="134" spans="1:12" x14ac:dyDescent="0.5">
      <c r="A134" s="11">
        <v>31048</v>
      </c>
      <c r="B134" s="12">
        <v>5321.1589999999997</v>
      </c>
      <c r="C134" s="12">
        <v>8400.82</v>
      </c>
      <c r="D134" s="12">
        <v>50.353999999999999</v>
      </c>
      <c r="E134" s="13">
        <v>8.18</v>
      </c>
      <c r="F134" s="14">
        <v>177522</v>
      </c>
      <c r="G134" s="15">
        <f t="shared" si="2"/>
        <v>6.4138314732868906E-3</v>
      </c>
      <c r="H134" s="16">
        <f>C134*1000/F134</f>
        <v>47.322698031793244</v>
      </c>
      <c r="I134" s="16">
        <f>B134*1000/F134</f>
        <v>29.974645396063586</v>
      </c>
      <c r="J134" s="5">
        <f t="shared" si="3"/>
        <v>1.4036168526713109E-2</v>
      </c>
      <c r="K134" s="5">
        <f>LN(H135)-LN(H134)</f>
        <v>6.3806114925792912E-3</v>
      </c>
      <c r="L134" s="5">
        <f>LN(I135)-LN(I134)</f>
        <v>6.7532315845375557E-3</v>
      </c>
    </row>
    <row r="135" spans="1:12" x14ac:dyDescent="0.5">
      <c r="A135" s="11">
        <v>31138</v>
      </c>
      <c r="B135" s="12">
        <v>5370.0110000000004</v>
      </c>
      <c r="C135" s="12">
        <v>8474.7870000000003</v>
      </c>
      <c r="D135" s="12">
        <v>50.677999999999997</v>
      </c>
      <c r="E135" s="13">
        <v>7.46</v>
      </c>
      <c r="F135" s="14">
        <v>177946</v>
      </c>
      <c r="G135" s="15">
        <f t="shared" si="2"/>
        <v>6.0199666368832006E-3</v>
      </c>
      <c r="H135" s="16">
        <f>C135*1000/F135</f>
        <v>47.625611140458339</v>
      </c>
      <c r="I135" s="16">
        <f>B135*1000/F135</f>
        <v>30.177756173221091</v>
      </c>
      <c r="J135" s="5">
        <f t="shared" si="3"/>
        <v>1.2630033363116799E-2</v>
      </c>
      <c r="K135" s="5">
        <f>LN(H136)-LN(H135)</f>
        <v>1.2536306406990771E-2</v>
      </c>
      <c r="L135" s="5">
        <f>LN(I136)-LN(I135)</f>
        <v>1.6195827893863868E-2</v>
      </c>
    </row>
    <row r="136" spans="1:12" x14ac:dyDescent="0.5">
      <c r="A136" s="11">
        <v>31229</v>
      </c>
      <c r="B136" s="12">
        <v>5472.0140000000001</v>
      </c>
      <c r="C136" s="12">
        <v>8604.2199999999993</v>
      </c>
      <c r="D136" s="12">
        <v>50.984000000000002</v>
      </c>
      <c r="E136" s="13">
        <v>7.11</v>
      </c>
      <c r="F136" s="14">
        <v>178413</v>
      </c>
      <c r="G136" s="15">
        <f t="shared" si="2"/>
        <v>5.5744230098220271E-3</v>
      </c>
      <c r="H136" s="16">
        <f>C136*1000/F136</f>
        <v>48.226418478474102</v>
      </c>
      <c r="I136" s="16">
        <f>B136*1000/F136</f>
        <v>30.670489258069761</v>
      </c>
      <c r="J136" s="5">
        <f t="shared" si="3"/>
        <v>1.2200576990177972E-2</v>
      </c>
      <c r="K136" s="5">
        <f>LN(H137)-LN(H136)</f>
        <v>4.4519367056290449E-3</v>
      </c>
      <c r="L136" s="5">
        <f>LN(I137)-LN(I136)</f>
        <v>-7.9146723721867929E-4</v>
      </c>
    </row>
    <row r="137" spans="1:12" x14ac:dyDescent="0.5">
      <c r="A137" s="11">
        <v>31321</v>
      </c>
      <c r="B137" s="12">
        <v>5483.866</v>
      </c>
      <c r="C137" s="12">
        <v>8668.1880000000001</v>
      </c>
      <c r="D137" s="12">
        <v>51.268999999999998</v>
      </c>
      <c r="E137" s="13">
        <v>7.17</v>
      </c>
      <c r="F137" s="14">
        <v>178941</v>
      </c>
      <c r="G137" s="15">
        <f t="shared" si="2"/>
        <v>4.9614375120263787E-3</v>
      </c>
      <c r="H137" s="16">
        <f>C137*1000/F137</f>
        <v>48.441598068637148</v>
      </c>
      <c r="I137" s="16">
        <f>B137*1000/F137</f>
        <v>30.646224174448562</v>
      </c>
      <c r="J137" s="5">
        <f t="shared" si="3"/>
        <v>1.2963562487973621E-2</v>
      </c>
      <c r="K137" s="5">
        <f>LN(H138)-LN(H137)</f>
        <v>4.3661383694360012E-3</v>
      </c>
      <c r="L137" s="5">
        <f>LN(I138)-LN(I137)</f>
        <v>3.7761854025828434E-3</v>
      </c>
    </row>
    <row r="138" spans="1:12" x14ac:dyDescent="0.5">
      <c r="A138" s="11">
        <v>31413</v>
      </c>
      <c r="B138" s="12">
        <v>5531.8069999999998</v>
      </c>
      <c r="C138" s="12">
        <v>8749.1270000000004</v>
      </c>
      <c r="D138" s="12">
        <v>51.524000000000001</v>
      </c>
      <c r="E138" s="13">
        <v>6.9</v>
      </c>
      <c r="F138" s="14">
        <v>179825</v>
      </c>
      <c r="G138" s="15">
        <f t="shared" si="2"/>
        <v>3.7775003027702425E-3</v>
      </c>
      <c r="H138" s="16">
        <f>C138*1000/F138</f>
        <v>48.653563186431249</v>
      </c>
      <c r="I138" s="16">
        <f>B138*1000/F138</f>
        <v>30.762168775198109</v>
      </c>
      <c r="J138" s="5">
        <f t="shared" si="3"/>
        <v>1.3472499697229759E-2</v>
      </c>
      <c r="K138" s="5">
        <f>LN(H139)-LN(H138)</f>
        <v>1.7384153258674928E-3</v>
      </c>
      <c r="L138" s="5">
        <f>LN(I139)-LN(I138)</f>
        <v>8.0823454925007532E-3</v>
      </c>
    </row>
    <row r="139" spans="1:12" x14ac:dyDescent="0.5">
      <c r="A139" s="11">
        <v>31503</v>
      </c>
      <c r="B139" s="12">
        <v>5592.08</v>
      </c>
      <c r="C139" s="12">
        <v>8788.5239999999994</v>
      </c>
      <c r="D139" s="12">
        <v>51.719000000000001</v>
      </c>
      <c r="E139" s="13">
        <v>6.14</v>
      </c>
      <c r="F139" s="14">
        <v>180321</v>
      </c>
      <c r="G139" s="15">
        <f t="shared" si="2"/>
        <v>4.090695525908572E-3</v>
      </c>
      <c r="H139" s="16">
        <f>C139*1000/F139</f>
        <v>48.738216846623523</v>
      </c>
      <c r="I139" s="16">
        <f>B139*1000/F139</f>
        <v>31.011806722456065</v>
      </c>
      <c r="J139" s="5">
        <f t="shared" si="3"/>
        <v>1.1259304474091427E-2</v>
      </c>
      <c r="K139" s="5">
        <f>LN(H140)-LN(H139)</f>
        <v>6.6692622445758687E-3</v>
      </c>
      <c r="L139" s="5">
        <f>LN(I140)-LN(I139)</f>
        <v>1.467762565301145E-2</v>
      </c>
    </row>
    <row r="140" spans="1:12" x14ac:dyDescent="0.5">
      <c r="A140" s="11">
        <v>31594</v>
      </c>
      <c r="B140" s="12">
        <v>5690.9709999999995</v>
      </c>
      <c r="C140" s="12">
        <v>8872.6010000000006</v>
      </c>
      <c r="D140" s="12">
        <v>51.930999999999997</v>
      </c>
      <c r="E140" s="13">
        <v>5.52</v>
      </c>
      <c r="F140" s="14">
        <v>180836</v>
      </c>
      <c r="G140" s="15">
        <f t="shared" si="2"/>
        <v>5.4347438008042204E-3</v>
      </c>
      <c r="H140" s="16">
        <f>C140*1000/F140</f>
        <v>49.064351124776039</v>
      </c>
      <c r="I140" s="16">
        <f>B140*1000/F140</f>
        <v>31.470343294476763</v>
      </c>
      <c r="J140" s="5">
        <f t="shared" si="3"/>
        <v>8.3652561991957794E-3</v>
      </c>
      <c r="K140" s="5">
        <f>LN(H141)-LN(H140)</f>
        <v>2.4285620543520459E-3</v>
      </c>
      <c r="L140" s="5">
        <f>LN(I141)-LN(I140)</f>
        <v>3.1824574884140588E-3</v>
      </c>
    </row>
    <row r="141" spans="1:12" x14ac:dyDescent="0.5">
      <c r="A141" s="11">
        <v>31686</v>
      </c>
      <c r="B141" s="12">
        <v>5725.8119999999999</v>
      </c>
      <c r="C141" s="12">
        <v>8920.1929999999993</v>
      </c>
      <c r="D141" s="12">
        <v>52.213999999999999</v>
      </c>
      <c r="E141" s="13">
        <v>5.35</v>
      </c>
      <c r="F141" s="14">
        <v>181365</v>
      </c>
      <c r="G141" s="15">
        <f t="shared" si="2"/>
        <v>6.3763794439370969E-3</v>
      </c>
      <c r="H141" s="16">
        <f>C141*1000/F141</f>
        <v>49.183651751991839</v>
      </c>
      <c r="I141" s="16">
        <f>B141*1000/F141</f>
        <v>31.57065585973038</v>
      </c>
      <c r="J141" s="5">
        <f t="shared" si="3"/>
        <v>6.9986205560629029E-3</v>
      </c>
      <c r="K141" s="5">
        <f>LN(H142)-LN(H141)</f>
        <v>3.8904617206649839E-3</v>
      </c>
      <c r="L141" s="5">
        <f>LN(I142)-LN(I141)</f>
        <v>-2.5555102711014577E-3</v>
      </c>
    </row>
    <row r="142" spans="1:12" x14ac:dyDescent="0.5">
      <c r="A142" s="11">
        <v>31778</v>
      </c>
      <c r="B142" s="12">
        <v>5731.2259999999997</v>
      </c>
      <c r="C142" s="12">
        <v>8986.3670000000002</v>
      </c>
      <c r="D142" s="12">
        <v>52.548000000000002</v>
      </c>
      <c r="E142" s="13">
        <v>5.54</v>
      </c>
      <c r="F142" s="14">
        <v>182001</v>
      </c>
      <c r="G142" s="15">
        <f t="shared" si="2"/>
        <v>6.90311863217552E-3</v>
      </c>
      <c r="H142" s="16">
        <f>C142*1000/F142</f>
        <v>49.375371563892507</v>
      </c>
      <c r="I142" s="16">
        <f>B142*1000/F142</f>
        <v>31.490079724836676</v>
      </c>
      <c r="J142" s="5">
        <f t="shared" si="3"/>
        <v>6.9468813678244794E-3</v>
      </c>
      <c r="K142" s="5">
        <f>LN(H143)-LN(H142)</f>
        <v>7.8381418027282379E-3</v>
      </c>
      <c r="L142" s="5">
        <f>LN(I143)-LN(I142)</f>
        <v>1.0657768899482889E-2</v>
      </c>
    </row>
    <row r="143" spans="1:12" x14ac:dyDescent="0.5">
      <c r="A143" s="11">
        <v>31868</v>
      </c>
      <c r="B143" s="12">
        <v>5809.3760000000002</v>
      </c>
      <c r="C143" s="12">
        <v>9083.2559999999994</v>
      </c>
      <c r="D143" s="12">
        <v>52.911999999999999</v>
      </c>
      <c r="E143" s="13">
        <v>5.66</v>
      </c>
      <c r="F143" s="14">
        <v>182527</v>
      </c>
      <c r="G143" s="15">
        <f t="shared" si="2"/>
        <v>7.55004763202205E-3</v>
      </c>
      <c r="H143" s="16">
        <f>C143*1000/F143</f>
        <v>49.763903422507354</v>
      </c>
      <c r="I143" s="16">
        <f>B143*1000/F143</f>
        <v>31.827488535942628</v>
      </c>
      <c r="J143" s="5">
        <f t="shared" si="3"/>
        <v>6.5999523679779511E-3</v>
      </c>
      <c r="K143" s="5">
        <f>LN(H144)-LN(H143)</f>
        <v>5.9589229048064851E-3</v>
      </c>
      <c r="L143" s="5">
        <f>LN(I144)-LN(I143)</f>
        <v>8.6665229700497726E-3</v>
      </c>
    </row>
    <row r="144" spans="1:12" x14ac:dyDescent="0.5">
      <c r="A144" s="11">
        <v>31959</v>
      </c>
      <c r="B144" s="12">
        <v>5875.6409999999996</v>
      </c>
      <c r="C144" s="12">
        <v>9162.0239999999994</v>
      </c>
      <c r="D144" s="12">
        <v>53.313000000000002</v>
      </c>
      <c r="E144" s="13">
        <v>6.04</v>
      </c>
      <c r="F144" s="14">
        <v>183016</v>
      </c>
      <c r="G144" s="15">
        <f t="shared" si="2"/>
        <v>7.9401823970703944E-3</v>
      </c>
      <c r="H144" s="16">
        <f>C144*1000/F144</f>
        <v>50.061327971324914</v>
      </c>
      <c r="I144" s="16">
        <f>B144*1000/F144</f>
        <v>32.104520916204045</v>
      </c>
      <c r="J144" s="5">
        <f t="shared" si="3"/>
        <v>7.1598176029296062E-3</v>
      </c>
      <c r="K144" s="5">
        <f>LN(H145)-LN(H144)</f>
        <v>1.4562603236200733E-2</v>
      </c>
      <c r="L144" s="5">
        <f>LN(I145)-LN(I144)</f>
        <v>-3.4897379007414742E-4</v>
      </c>
    </row>
    <row r="145" spans="1:12" x14ac:dyDescent="0.5">
      <c r="A145" s="11">
        <v>32051</v>
      </c>
      <c r="B145" s="12">
        <v>5888.0649999999996</v>
      </c>
      <c r="C145" s="12">
        <v>9319.3320000000003</v>
      </c>
      <c r="D145" s="12">
        <v>53.738</v>
      </c>
      <c r="E145" s="13">
        <v>5.86</v>
      </c>
      <c r="F145" s="14">
        <v>183467</v>
      </c>
      <c r="G145" s="15">
        <f t="shared" si="2"/>
        <v>7.8037783541011763E-3</v>
      </c>
      <c r="H145" s="16">
        <f>C145*1000/F145</f>
        <v>50.795685327606598</v>
      </c>
      <c r="I145" s="16">
        <f>B145*1000/F145</f>
        <v>32.093319234521736</v>
      </c>
      <c r="J145" s="5">
        <f t="shared" si="3"/>
        <v>6.8462216458988253E-3</v>
      </c>
      <c r="K145" s="5">
        <f>LN(H146)-LN(H145)</f>
        <v>2.4339339924375203E-3</v>
      </c>
      <c r="L145" s="5">
        <f>LN(I146)-LN(I145)</f>
        <v>1.4793102224474275E-2</v>
      </c>
    </row>
    <row r="146" spans="1:12" x14ac:dyDescent="0.5">
      <c r="A146" s="11">
        <v>32143</v>
      </c>
      <c r="B146" s="12">
        <v>5992.1009999999997</v>
      </c>
      <c r="C146" s="12">
        <v>9367.5020000000004</v>
      </c>
      <c r="D146" s="12">
        <v>54.158999999999999</v>
      </c>
      <c r="E146" s="13">
        <v>5.72</v>
      </c>
      <c r="F146" s="14">
        <v>183967</v>
      </c>
      <c r="G146" s="15">
        <f t="shared" si="2"/>
        <v>9.6835705476041589E-3</v>
      </c>
      <c r="H146" s="16">
        <f>C146*1000/F146</f>
        <v>50.919469252637704</v>
      </c>
      <c r="I146" s="16">
        <f>B146*1000/F146</f>
        <v>32.571607951426074</v>
      </c>
      <c r="J146" s="5">
        <f t="shared" si="3"/>
        <v>4.6164294523958413E-3</v>
      </c>
      <c r="K146" s="5">
        <f>LN(H147)-LN(H146)</f>
        <v>1.0763474958908947E-2</v>
      </c>
      <c r="L146" s="5">
        <f>LN(I147)-LN(I146)</f>
        <v>5.0669883628815526E-3</v>
      </c>
    </row>
    <row r="147" spans="1:12" x14ac:dyDescent="0.5">
      <c r="A147" s="11">
        <v>32234</v>
      </c>
      <c r="B147" s="12">
        <v>6036.3549999999996</v>
      </c>
      <c r="C147" s="12">
        <v>9490.5939999999991</v>
      </c>
      <c r="D147" s="12">
        <v>54.686</v>
      </c>
      <c r="E147" s="13">
        <v>6.21</v>
      </c>
      <c r="F147" s="14">
        <v>184389</v>
      </c>
      <c r="G147" s="15">
        <f t="shared" si="2"/>
        <v>1.1888239188545313E-2</v>
      </c>
      <c r="H147" s="16">
        <f>C147*1000/F147</f>
        <v>51.47049986712873</v>
      </c>
      <c r="I147" s="16">
        <f>B147*1000/F147</f>
        <v>32.73706674476243</v>
      </c>
      <c r="J147" s="5">
        <f t="shared" si="3"/>
        <v>3.6367608114546875E-3</v>
      </c>
      <c r="K147" s="5">
        <f>LN(H148)-LN(H147)</f>
        <v>3.3996656174806184E-3</v>
      </c>
      <c r="L147" s="5">
        <f>LN(I148)-LN(I147)</f>
        <v>6.4049633780065562E-3</v>
      </c>
    </row>
    <row r="148" spans="1:12" x14ac:dyDescent="0.5">
      <c r="A148" s="11">
        <v>32325</v>
      </c>
      <c r="B148" s="12">
        <v>6090.0010000000002</v>
      </c>
      <c r="C148" s="12">
        <v>9546.2060000000001</v>
      </c>
      <c r="D148" s="12">
        <v>55.34</v>
      </c>
      <c r="E148" s="13">
        <v>7.01</v>
      </c>
      <c r="F148" s="14">
        <v>184840</v>
      </c>
      <c r="G148" s="15">
        <f t="shared" si="2"/>
        <v>8.6004236556966873E-3</v>
      </c>
      <c r="H148" s="16">
        <f>C148*1000/F148</f>
        <v>51.645780134170096</v>
      </c>
      <c r="I148" s="16">
        <f>B148*1000/F148</f>
        <v>32.947419389742478</v>
      </c>
      <c r="J148" s="5">
        <f t="shared" si="3"/>
        <v>8.9245763443033116E-3</v>
      </c>
      <c r="K148" s="5">
        <f>LN(H149)-LN(H148)</f>
        <v>1.1004696999046271E-2</v>
      </c>
      <c r="L148" s="5">
        <f>LN(I149)-LN(I148)</f>
        <v>9.0742491558244431E-3</v>
      </c>
    </row>
    <row r="149" spans="1:12" x14ac:dyDescent="0.5">
      <c r="A149" s="11">
        <v>32417</v>
      </c>
      <c r="B149" s="12">
        <v>6159.2460000000001</v>
      </c>
      <c r="C149" s="12">
        <v>9673.4050000000007</v>
      </c>
      <c r="D149" s="12">
        <v>55.817999999999998</v>
      </c>
      <c r="E149" s="13">
        <v>7.73</v>
      </c>
      <c r="F149" s="14">
        <v>185253</v>
      </c>
      <c r="G149" s="15">
        <f t="shared" si="2"/>
        <v>1.0372760489536503E-2</v>
      </c>
      <c r="H149" s="16">
        <f>C149*1000/F149</f>
        <v>52.21726503754325</v>
      </c>
      <c r="I149" s="16">
        <f>B149*1000/F149</f>
        <v>33.247753072824729</v>
      </c>
      <c r="J149" s="5">
        <f t="shared" si="3"/>
        <v>8.9522395104634986E-3</v>
      </c>
      <c r="K149" s="5">
        <f>LN(H150)-LN(H149)</f>
        <v>7.3096040288929132E-3</v>
      </c>
      <c r="L149" s="5">
        <f>LN(I150)-LN(I149)</f>
        <v>1.8247899442793702E-3</v>
      </c>
    </row>
    <row r="150" spans="1:12" x14ac:dyDescent="0.5">
      <c r="A150" s="11">
        <v>32509</v>
      </c>
      <c r="B150" s="12">
        <v>6187.8159999999998</v>
      </c>
      <c r="C150" s="12">
        <v>9771.7250000000004</v>
      </c>
      <c r="D150" s="12">
        <v>56.4</v>
      </c>
      <c r="E150" s="13">
        <v>8.5399999999999991</v>
      </c>
      <c r="F150" s="14">
        <v>185773</v>
      </c>
      <c r="G150" s="15">
        <f t="shared" si="2"/>
        <v>1.0599653036294399E-2</v>
      </c>
      <c r="H150" s="16">
        <f>C150*1000/F150</f>
        <v>52.600350965963841</v>
      </c>
      <c r="I150" s="16">
        <f>B150*1000/F150</f>
        <v>33.308478627141724</v>
      </c>
      <c r="J150" s="5">
        <f t="shared" si="3"/>
        <v>1.0750346963705599E-2</v>
      </c>
      <c r="K150" s="5">
        <f>LN(H151)-LN(H150)</f>
        <v>5.4243207364792489E-3</v>
      </c>
      <c r="L150" s="5">
        <f>LN(I151)-LN(I150)</f>
        <v>2.4785106903970622E-3</v>
      </c>
    </row>
    <row r="151" spans="1:12" x14ac:dyDescent="0.5">
      <c r="A151" s="11">
        <v>32599</v>
      </c>
      <c r="B151" s="12">
        <v>6216.6949999999997</v>
      </c>
      <c r="C151" s="12">
        <v>9846.2929999999997</v>
      </c>
      <c r="D151" s="12">
        <v>57.000999999999998</v>
      </c>
      <c r="E151" s="13">
        <v>8.41</v>
      </c>
      <c r="F151" s="14">
        <v>186178</v>
      </c>
      <c r="G151" s="15">
        <f t="shared" si="2"/>
        <v>7.2716151837379783E-3</v>
      </c>
      <c r="H151" s="16">
        <f>C151*1000/F151</f>
        <v>52.886447378315374</v>
      </c>
      <c r="I151" s="16">
        <f>B151*1000/F151</f>
        <v>33.391136439321507</v>
      </c>
      <c r="J151" s="5">
        <f t="shared" si="3"/>
        <v>1.3753384816262024E-2</v>
      </c>
      <c r="K151" s="5">
        <f>LN(H152)-LN(H151)</f>
        <v>5.1052553859118888E-3</v>
      </c>
      <c r="L151" s="5">
        <f>LN(I152)-LN(I151)</f>
        <v>7.359347612050815E-3</v>
      </c>
    </row>
    <row r="152" spans="1:12" x14ac:dyDescent="0.5">
      <c r="A152" s="11">
        <v>32690</v>
      </c>
      <c r="B152" s="12">
        <v>6276.8770000000004</v>
      </c>
      <c r="C152" s="12">
        <v>9919.2279999999992</v>
      </c>
      <c r="D152" s="12">
        <v>57.417000000000002</v>
      </c>
      <c r="E152" s="13">
        <v>7.84</v>
      </c>
      <c r="F152" s="14">
        <v>186602</v>
      </c>
      <c r="G152" s="15">
        <f t="shared" si="2"/>
        <v>7.0980748020748052E-3</v>
      </c>
      <c r="H152" s="16">
        <f>C152*1000/F152</f>
        <v>53.157136579457884</v>
      </c>
      <c r="I152" s="16">
        <f>B152*1000/F152</f>
        <v>33.637779873741977</v>
      </c>
      <c r="J152" s="5">
        <f t="shared" si="3"/>
        <v>1.2501925197925194E-2</v>
      </c>
      <c r="K152" s="5">
        <f>LN(H153)-LN(H152)</f>
        <v>-2.589894163231854E-4</v>
      </c>
      <c r="L152" s="5">
        <f>LN(I153)-LN(I152)</f>
        <v>2.1098308352014428E-3</v>
      </c>
    </row>
    <row r="153" spans="1:12" x14ac:dyDescent="0.5">
      <c r="A153" s="11">
        <v>32782</v>
      </c>
      <c r="B153" s="12">
        <v>6304.1570000000002</v>
      </c>
      <c r="C153" s="12">
        <v>9938.7669999999998</v>
      </c>
      <c r="D153" s="12">
        <v>57.826000000000001</v>
      </c>
      <c r="E153" s="13">
        <v>7.65</v>
      </c>
      <c r="F153" s="14">
        <v>187018</v>
      </c>
      <c r="G153" s="15">
        <f t="shared" si="2"/>
        <v>1.0733186391957084E-2</v>
      </c>
      <c r="H153" s="16">
        <f>C153*1000/F153</f>
        <v>53.143371226299074</v>
      </c>
      <c r="I153" s="16">
        <f>B153*1000/F153</f>
        <v>33.708824819001379</v>
      </c>
      <c r="J153" s="5">
        <f t="shared" si="3"/>
        <v>8.3918136080429161E-3</v>
      </c>
      <c r="K153" s="5">
        <f>LN(H154)-LN(H153)</f>
        <v>2.8702993132632137E-3</v>
      </c>
      <c r="L153" s="5">
        <f>LN(I154)-LN(I153)</f>
        <v>3.8158354725359445E-4</v>
      </c>
    </row>
    <row r="154" spans="1:12" x14ac:dyDescent="0.5">
      <c r="A154" s="11">
        <v>32874</v>
      </c>
      <c r="B154" s="12">
        <v>6357.2129999999997</v>
      </c>
      <c r="C154" s="12">
        <v>10047.386</v>
      </c>
      <c r="D154" s="12">
        <v>58.45</v>
      </c>
      <c r="E154" s="13">
        <v>7.76</v>
      </c>
      <c r="F154" s="14">
        <v>188520</v>
      </c>
      <c r="G154" s="15">
        <f t="shared" si="2"/>
        <v>1.1143835284262771E-2</v>
      </c>
      <c r="H154" s="16">
        <f>C154*1000/F154</f>
        <v>53.296127731805647</v>
      </c>
      <c r="I154" s="16">
        <f>B154*1000/F154</f>
        <v>33.721690006365371</v>
      </c>
      <c r="J154" s="5">
        <f t="shared" si="3"/>
        <v>8.2561647157372298E-3</v>
      </c>
      <c r="K154" s="5">
        <f>LN(H155)-LN(H154)</f>
        <v>1.524759071876769E-3</v>
      </c>
      <c r="L154" s="5">
        <f>LN(I155)-LN(I154)</f>
        <v>9.4330312098067637E-4</v>
      </c>
    </row>
    <row r="155" spans="1:12" x14ac:dyDescent="0.5">
      <c r="A155" s="11">
        <v>32964</v>
      </c>
      <c r="B155" s="12">
        <v>6376.5789999999997</v>
      </c>
      <c r="C155" s="12">
        <v>10083.855</v>
      </c>
      <c r="D155" s="12">
        <v>59.104999999999997</v>
      </c>
      <c r="E155" s="13">
        <v>7.75</v>
      </c>
      <c r="F155" s="14">
        <v>188916</v>
      </c>
      <c r="G155" s="15">
        <f t="shared" si="2"/>
        <v>8.5245975975576371E-3</v>
      </c>
      <c r="H155" s="16">
        <f>C155*1000/F155</f>
        <v>53.377453471384108</v>
      </c>
      <c r="I155" s="16">
        <f>B155*1000/F155</f>
        <v>33.753514789641955</v>
      </c>
      <c r="J155" s="5">
        <f t="shared" si="3"/>
        <v>1.0850402402442363E-2</v>
      </c>
      <c r="K155" s="5">
        <f>LN(H156)-LN(H155)</f>
        <v>-1.6449308419166364E-3</v>
      </c>
      <c r="L155" s="5">
        <f>LN(I156)-LN(I155)</f>
        <v>1.6433325231464124E-3</v>
      </c>
    </row>
    <row r="156" spans="1:12" x14ac:dyDescent="0.5">
      <c r="A156" s="11">
        <v>33055</v>
      </c>
      <c r="B156" s="12">
        <v>6401.8410000000003</v>
      </c>
      <c r="C156" s="12">
        <v>10090.569</v>
      </c>
      <c r="D156" s="12">
        <v>59.610999999999997</v>
      </c>
      <c r="E156" s="13">
        <v>7.48</v>
      </c>
      <c r="F156" s="14">
        <v>189353</v>
      </c>
      <c r="G156" s="15">
        <f t="shared" si="2"/>
        <v>7.4206882065555035E-3</v>
      </c>
      <c r="H156" s="16">
        <f>C156*1000/F156</f>
        <v>53.2897234266159</v>
      </c>
      <c r="I156" s="16">
        <f>B156*1000/F156</f>
        <v>33.809028639630739</v>
      </c>
      <c r="J156" s="5">
        <f t="shared" si="3"/>
        <v>1.1279311793444498E-2</v>
      </c>
      <c r="K156" s="5">
        <f>LN(H157)-LN(H156)</f>
        <v>-1.1851302937582187E-2</v>
      </c>
      <c r="L156" s="5">
        <f>LN(I157)-LN(I156)</f>
        <v>-1.0342146067921831E-2</v>
      </c>
    </row>
    <row r="157" spans="1:12" x14ac:dyDescent="0.5">
      <c r="A157" s="11">
        <v>33147</v>
      </c>
      <c r="B157" s="12">
        <v>6353.1390000000001</v>
      </c>
      <c r="C157" s="12">
        <v>9998.7039999999997</v>
      </c>
      <c r="D157" s="12">
        <v>60.055</v>
      </c>
      <c r="E157" s="13">
        <v>6.99</v>
      </c>
      <c r="F157" s="14">
        <v>189866</v>
      </c>
      <c r="G157" s="15">
        <f t="shared" si="2"/>
        <v>9.7434033994634461E-3</v>
      </c>
      <c r="H157" s="16">
        <f>C157*1000/F157</f>
        <v>52.661898391497161</v>
      </c>
      <c r="I157" s="16">
        <f>B157*1000/F157</f>
        <v>33.461172616476887</v>
      </c>
      <c r="J157" s="5">
        <f t="shared" si="3"/>
        <v>7.7315966005365548E-3</v>
      </c>
      <c r="K157" s="5">
        <f>LN(H158)-LN(H157)</f>
        <v>-6.8264563366025044E-3</v>
      </c>
      <c r="L157" s="5">
        <f>LN(I158)-LN(I157)</f>
        <v>-5.9035009327499388E-3</v>
      </c>
    </row>
    <row r="158" spans="1:12" x14ac:dyDescent="0.5">
      <c r="A158" s="11">
        <v>33239</v>
      </c>
      <c r="B158" s="12">
        <v>6329.2489999999998</v>
      </c>
      <c r="C158" s="12">
        <v>9951.9159999999993</v>
      </c>
      <c r="D158" s="12">
        <v>60.643000000000001</v>
      </c>
      <c r="E158" s="13">
        <v>6.02</v>
      </c>
      <c r="F158" s="14">
        <v>190272</v>
      </c>
      <c r="G158" s="15">
        <f t="shared" si="2"/>
        <v>7.3112351374202689E-3</v>
      </c>
      <c r="H158" s="16">
        <f>C158*1000/F158</f>
        <v>52.303628489741001</v>
      </c>
      <c r="I158" s="16">
        <f>B158*1000/F158</f>
        <v>33.264216490077366</v>
      </c>
      <c r="J158" s="5">
        <f t="shared" si="3"/>
        <v>7.7387648625797303E-3</v>
      </c>
      <c r="K158" s="5">
        <f>LN(H159)-LN(H158)</f>
        <v>5.750522178877393E-3</v>
      </c>
      <c r="L158" s="5">
        <f>LN(I159)-LN(I158)</f>
        <v>6.2372721948538157E-3</v>
      </c>
    </row>
    <row r="159" spans="1:12" x14ac:dyDescent="0.5">
      <c r="A159" s="11">
        <v>33329</v>
      </c>
      <c r="B159" s="12">
        <v>6381.7030000000004</v>
      </c>
      <c r="C159" s="12">
        <v>10029.51</v>
      </c>
      <c r="D159" s="12">
        <v>61.088000000000001</v>
      </c>
      <c r="E159" s="13">
        <v>5.56</v>
      </c>
      <c r="F159" s="14">
        <v>190656</v>
      </c>
      <c r="G159" s="15">
        <f t="shared" si="2"/>
        <v>7.7943225647896242E-3</v>
      </c>
      <c r="H159" s="16">
        <f>C159*1000/F159</f>
        <v>52.60526812688822</v>
      </c>
      <c r="I159" s="16">
        <f>B159*1000/F159</f>
        <v>33.472342858341726</v>
      </c>
      <c r="J159" s="5">
        <f t="shared" si="3"/>
        <v>6.105677435210375E-3</v>
      </c>
      <c r="K159" s="5">
        <f>LN(H160)-LN(H159)</f>
        <v>2.6048821255812982E-3</v>
      </c>
      <c r="L159" s="5">
        <f>LN(I160)-LN(I159)</f>
        <v>2.5374502302937252E-3</v>
      </c>
    </row>
    <row r="160" spans="1:12" x14ac:dyDescent="0.5">
      <c r="A160" s="11">
        <v>33420</v>
      </c>
      <c r="B160" s="12">
        <v>6413.5209999999997</v>
      </c>
      <c r="C160" s="12">
        <v>10080.195</v>
      </c>
      <c r="D160" s="12">
        <v>61.566000000000003</v>
      </c>
      <c r="E160" s="13">
        <v>5.38</v>
      </c>
      <c r="F160" s="14">
        <v>191121</v>
      </c>
      <c r="G160" s="15">
        <f t="shared" si="2"/>
        <v>5.9110919745162249E-3</v>
      </c>
      <c r="H160" s="16">
        <f>C160*1000/F160</f>
        <v>52.742477278791966</v>
      </c>
      <c r="I160" s="16">
        <f>B160*1000/F160</f>
        <v>33.557385112049438</v>
      </c>
      <c r="J160" s="5">
        <f t="shared" si="3"/>
        <v>7.5389080254837752E-3</v>
      </c>
      <c r="K160" s="5">
        <f>LN(H161)-LN(H160)</f>
        <v>7.1011400876841435E-4</v>
      </c>
      <c r="L160" s="5">
        <f>LN(I161)-LN(I160)</f>
        <v>-3.2697487399313552E-3</v>
      </c>
    </row>
    <row r="161" spans="1:12" x14ac:dyDescent="0.5">
      <c r="A161" s="11">
        <v>33512</v>
      </c>
      <c r="B161" s="12">
        <v>6410.3119999999999</v>
      </c>
      <c r="C161" s="12">
        <v>10115.329</v>
      </c>
      <c r="D161" s="12">
        <v>61.930999999999997</v>
      </c>
      <c r="E161" s="13">
        <v>4.54</v>
      </c>
      <c r="F161" s="14">
        <v>191651</v>
      </c>
      <c r="G161" s="15">
        <f t="shared" si="2"/>
        <v>3.7069313634336964E-3</v>
      </c>
      <c r="H161" s="16">
        <f>C161*1000/F161</f>
        <v>52.779943751924073</v>
      </c>
      <c r="I161" s="16">
        <f>B161*1000/F161</f>
        <v>33.447840084319935</v>
      </c>
      <c r="J161" s="5">
        <f t="shared" si="3"/>
        <v>7.6430686365663043E-3</v>
      </c>
      <c r="K161" s="5">
        <f>LN(H162)-LN(H161)</f>
        <v>9.6915073257091144E-3</v>
      </c>
      <c r="L161" s="5">
        <f>LN(I162)-LN(I161)</f>
        <v>1.6340388866270761E-2</v>
      </c>
    </row>
    <row r="162" spans="1:12" x14ac:dyDescent="0.5">
      <c r="A162" s="11">
        <v>33604</v>
      </c>
      <c r="B162" s="12">
        <v>6530.335</v>
      </c>
      <c r="C162" s="12">
        <v>10236.434999999999</v>
      </c>
      <c r="D162" s="12">
        <v>62.161000000000001</v>
      </c>
      <c r="E162" s="13">
        <v>3.89</v>
      </c>
      <c r="F162" s="14">
        <v>192075</v>
      </c>
      <c r="G162" s="15">
        <f t="shared" si="2"/>
        <v>5.9986065547930068E-3</v>
      </c>
      <c r="H162" s="16">
        <f>C162*1000/F162</f>
        <v>53.293947676688795</v>
      </c>
      <c r="I162" s="16">
        <f>B162*1000/F162</f>
        <v>33.998880645581153</v>
      </c>
      <c r="J162" s="5">
        <f t="shared" si="3"/>
        <v>3.7263934452069943E-3</v>
      </c>
      <c r="K162" s="5">
        <f>LN(H163)-LN(H162)</f>
        <v>8.5380726433479381E-3</v>
      </c>
      <c r="L162" s="5">
        <f>LN(I163)-LN(I162)</f>
        <v>4.5187865891120893E-3</v>
      </c>
    </row>
    <row r="163" spans="1:12" x14ac:dyDescent="0.5">
      <c r="A163" s="11">
        <v>33695</v>
      </c>
      <c r="B163" s="12">
        <v>6574.665</v>
      </c>
      <c r="C163" s="12">
        <v>10347.429</v>
      </c>
      <c r="D163" s="12">
        <v>62.534999999999997</v>
      </c>
      <c r="E163" s="13">
        <v>3.68</v>
      </c>
      <c r="F163" s="14">
        <v>192507</v>
      </c>
      <c r="G163" s="15">
        <f t="shared" si="2"/>
        <v>4.8813266908691588E-3</v>
      </c>
      <c r="H163" s="16">
        <f>C163*1000/F163</f>
        <v>53.750923343047269</v>
      </c>
      <c r="I163" s="16">
        <f>B163*1000/F163</f>
        <v>34.1528619738503</v>
      </c>
      <c r="J163" s="5">
        <f t="shared" si="3"/>
        <v>4.318673309130841E-3</v>
      </c>
      <c r="K163" s="5">
        <f>LN(H164)-LN(H163)</f>
        <v>7.1505861964245021E-3</v>
      </c>
      <c r="L163" s="5">
        <f>LN(I164)-LN(I163)</f>
        <v>7.980117418025845E-3</v>
      </c>
    </row>
    <row r="164" spans="1:12" x14ac:dyDescent="0.5">
      <c r="A164" s="11">
        <v>33786</v>
      </c>
      <c r="B164" s="12">
        <v>6645.14</v>
      </c>
      <c r="C164" s="12">
        <v>10449.673000000001</v>
      </c>
      <c r="D164" s="12">
        <v>62.841000000000001</v>
      </c>
      <c r="E164" s="13">
        <v>3.08</v>
      </c>
      <c r="F164" s="14">
        <v>193024</v>
      </c>
      <c r="G164" s="15">
        <f t="shared" si="2"/>
        <v>6.850971179848564E-3</v>
      </c>
      <c r="H164" s="16">
        <f>C164*1000/F164</f>
        <v>54.136651400862071</v>
      </c>
      <c r="I164" s="16">
        <f>B164*1000/F164</f>
        <v>34.426496187002655</v>
      </c>
      <c r="J164" s="5">
        <f t="shared" si="3"/>
        <v>8.4902882015143628E-4</v>
      </c>
      <c r="K164" s="5">
        <f>LN(H165)-LN(H164)</f>
        <v>7.3122711730002621E-3</v>
      </c>
      <c r="L164" s="5">
        <f>LN(I165)-LN(I164)</f>
        <v>8.7860338685858963E-3</v>
      </c>
    </row>
    <row r="165" spans="1:12" x14ac:dyDescent="0.5">
      <c r="A165" s="11">
        <v>33878</v>
      </c>
      <c r="B165" s="12">
        <v>6724.3419999999996</v>
      </c>
      <c r="C165" s="12">
        <v>10558.647999999999</v>
      </c>
      <c r="D165" s="12">
        <v>63.273000000000003</v>
      </c>
      <c r="E165" s="13">
        <v>3.07</v>
      </c>
      <c r="F165" s="14">
        <v>193616</v>
      </c>
      <c r="G165" s="15">
        <f t="shared" si="2"/>
        <v>5.5949271645268084E-3</v>
      </c>
      <c r="H165" s="16">
        <f>C165*1000/F165</f>
        <v>54.53396413519544</v>
      </c>
      <c r="I165" s="16">
        <f>B165*1000/F165</f>
        <v>34.730301214775636</v>
      </c>
      <c r="J165" s="5">
        <f t="shared" si="3"/>
        <v>2.0800728354731911E-3</v>
      </c>
      <c r="K165" s="5">
        <f>LN(H166)-LN(H165)</f>
        <v>-8.5954028052670495E-4</v>
      </c>
      <c r="L165" s="5">
        <f>LN(I166)-LN(I165)</f>
        <v>1.2990645633430553E-3</v>
      </c>
    </row>
    <row r="166" spans="1:12" x14ac:dyDescent="0.5">
      <c r="A166" s="11">
        <v>33970</v>
      </c>
      <c r="B166" s="12">
        <v>6750.1229999999996</v>
      </c>
      <c r="C166" s="12">
        <v>10576.275</v>
      </c>
      <c r="D166" s="12">
        <v>63.628</v>
      </c>
      <c r="E166" s="13">
        <v>2.96</v>
      </c>
      <c r="F166" s="14">
        <v>194106</v>
      </c>
      <c r="G166" s="15">
        <f t="shared" si="2"/>
        <v>5.9388273425486915E-3</v>
      </c>
      <c r="H166" s="16">
        <f>C166*1000/F166</f>
        <v>54.487110135699048</v>
      </c>
      <c r="I166" s="16">
        <f>B166*1000/F166</f>
        <v>34.775447435937068</v>
      </c>
      <c r="J166" s="5">
        <f t="shared" si="3"/>
        <v>1.4611726574513088E-3</v>
      </c>
      <c r="K166" s="5">
        <f>LN(H167)-LN(H166)</f>
        <v>3.4943309372894582E-3</v>
      </c>
      <c r="L166" s="5">
        <f>LN(I167)-LN(I166)</f>
        <v>6.7443652738909954E-3</v>
      </c>
    </row>
    <row r="167" spans="1:12" x14ac:dyDescent="0.5">
      <c r="A167" s="11">
        <v>34060</v>
      </c>
      <c r="B167" s="12">
        <v>6811.5219999999999</v>
      </c>
      <c r="C167" s="12">
        <v>10637.847</v>
      </c>
      <c r="D167" s="12">
        <v>64.007000000000005</v>
      </c>
      <c r="E167" s="13">
        <v>2.97</v>
      </c>
      <c r="F167" s="14">
        <v>194555</v>
      </c>
      <c r="G167" s="15">
        <f t="shared" si="2"/>
        <v>5.9192970004584566E-3</v>
      </c>
      <c r="H167" s="16">
        <f>C167*1000/F167</f>
        <v>54.677839171442521</v>
      </c>
      <c r="I167" s="16">
        <f>B167*1000/F167</f>
        <v>35.010778443113772</v>
      </c>
      <c r="J167" s="5">
        <f t="shared" si="3"/>
        <v>1.5057029995415435E-3</v>
      </c>
      <c r="K167" s="5">
        <f>LN(H168)-LN(H167)</f>
        <v>2.1268841846886488E-3</v>
      </c>
      <c r="L167" s="5">
        <f>LN(I168)-LN(I167)</f>
        <v>8.4344402438780719E-3</v>
      </c>
    </row>
    <row r="168" spans="1:12" x14ac:dyDescent="0.5">
      <c r="A168" s="11">
        <v>34151</v>
      </c>
      <c r="B168" s="12">
        <v>6887.3289999999997</v>
      </c>
      <c r="C168" s="12">
        <v>10688.606</v>
      </c>
      <c r="D168" s="12">
        <v>64.387</v>
      </c>
      <c r="E168" s="13">
        <v>3</v>
      </c>
      <c r="F168" s="14">
        <v>195068</v>
      </c>
      <c r="G168" s="15">
        <f t="shared" si="2"/>
        <v>5.436605839807207E-3</v>
      </c>
      <c r="H168" s="16">
        <f>C168*1000/F168</f>
        <v>54.794256361884059</v>
      </c>
      <c r="I168" s="16">
        <f>B168*1000/F168</f>
        <v>35.30732359997539</v>
      </c>
      <c r="J168" s="5">
        <f t="shared" si="3"/>
        <v>2.0633941601927927E-3</v>
      </c>
      <c r="K168" s="5">
        <f>LN(H169)-LN(H168)</f>
        <v>1.06789249435435E-2</v>
      </c>
      <c r="L168" s="5">
        <f>LN(I169)-LN(I168)</f>
        <v>5.9090908745358384E-3</v>
      </c>
    </row>
    <row r="169" spans="1:12" x14ac:dyDescent="0.5">
      <c r="A169" s="11">
        <v>34243</v>
      </c>
      <c r="B169" s="12">
        <v>6947.7879999999996</v>
      </c>
      <c r="C169" s="12">
        <v>10833.986999999999</v>
      </c>
      <c r="D169" s="12">
        <v>64.738</v>
      </c>
      <c r="E169" s="13">
        <v>3.06</v>
      </c>
      <c r="F169" s="14">
        <v>195621</v>
      </c>
      <c r="G169" s="15">
        <f t="shared" si="2"/>
        <v>4.7771036866075534E-3</v>
      </c>
      <c r="H169" s="16">
        <f>C169*1000/F169</f>
        <v>55.382535617341695</v>
      </c>
      <c r="I169" s="16">
        <f>B169*1000/F169</f>
        <v>35.516575418794503</v>
      </c>
      <c r="J169" s="5">
        <f t="shared" si="3"/>
        <v>2.8728963133924472E-3</v>
      </c>
      <c r="K169" s="5">
        <f>LN(H170)-LN(H169)</f>
        <v>7.2877271428675172E-3</v>
      </c>
      <c r="L169" s="5">
        <f>LN(I170)-LN(I169)</f>
        <v>9.0036997273514885E-3</v>
      </c>
    </row>
    <row r="170" spans="1:12" x14ac:dyDescent="0.5">
      <c r="A170" s="11">
        <v>34335</v>
      </c>
      <c r="B170" s="12">
        <v>7027.2550000000001</v>
      </c>
      <c r="C170" s="12">
        <v>10939.116</v>
      </c>
      <c r="D170" s="12">
        <v>65.048000000000002</v>
      </c>
      <c r="E170" s="13">
        <v>3.24</v>
      </c>
      <c r="F170" s="14">
        <v>196085</v>
      </c>
      <c r="G170" s="15">
        <f t="shared" si="2"/>
        <v>4.8155909332505686E-3</v>
      </c>
      <c r="H170" s="16">
        <f>C170*1000/F170</f>
        <v>55.787622714639056</v>
      </c>
      <c r="I170" s="16">
        <f>B170*1000/F170</f>
        <v>35.837799933702222</v>
      </c>
      <c r="J170" s="5">
        <f t="shared" si="3"/>
        <v>3.2844090667494327E-3</v>
      </c>
      <c r="K170" s="5">
        <f>LN(H171)-LN(H170)</f>
        <v>1.1234675936206528E-2</v>
      </c>
      <c r="L170" s="5">
        <f>LN(I171)-LN(I170)</f>
        <v>5.5243048399140626E-3</v>
      </c>
    </row>
    <row r="171" spans="1:12" x14ac:dyDescent="0.5">
      <c r="A171" s="11">
        <v>34425</v>
      </c>
      <c r="B171" s="12">
        <v>7081.9309999999996</v>
      </c>
      <c r="C171" s="12">
        <v>11087.361000000001</v>
      </c>
      <c r="D171" s="12">
        <v>65.361999999999995</v>
      </c>
      <c r="E171" s="13">
        <v>3.99</v>
      </c>
      <c r="F171" s="14">
        <v>196522</v>
      </c>
      <c r="G171" s="15">
        <f t="shared" si="2"/>
        <v>5.7208830390029775E-3</v>
      </c>
      <c r="H171" s="16">
        <f>C171*1000/F171</f>
        <v>56.41791249834624</v>
      </c>
      <c r="I171" s="16">
        <f>B171*1000/F171</f>
        <v>36.036326721690195</v>
      </c>
      <c r="J171" s="5">
        <f t="shared" si="3"/>
        <v>4.2541169609970238E-3</v>
      </c>
      <c r="K171" s="5">
        <f>LN(H172)-LN(H171)</f>
        <v>3.1457055882686547E-3</v>
      </c>
      <c r="L171" s="5">
        <f>LN(I172)-LN(I171)</f>
        <v>4.9128558696174274E-3</v>
      </c>
    </row>
    <row r="172" spans="1:12" x14ac:dyDescent="0.5">
      <c r="A172" s="11">
        <v>34516</v>
      </c>
      <c r="B172" s="12">
        <v>7135.93</v>
      </c>
      <c r="C172" s="12">
        <v>11152.175999999999</v>
      </c>
      <c r="D172" s="12">
        <v>65.736999999999995</v>
      </c>
      <c r="E172" s="13">
        <v>4.4800000000000004</v>
      </c>
      <c r="F172" s="14">
        <v>197050</v>
      </c>
      <c r="G172" s="15">
        <f t="shared" si="2"/>
        <v>5.4009082207482351E-3</v>
      </c>
      <c r="H172" s="16">
        <f>C172*1000/F172</f>
        <v>56.595666074600352</v>
      </c>
      <c r="I172" s="16">
        <f>B172*1000/F172</f>
        <v>36.21380360314641</v>
      </c>
      <c r="J172" s="5">
        <f t="shared" si="3"/>
        <v>5.7990917792517666E-3</v>
      </c>
      <c r="K172" s="5">
        <f>LN(H173)-LN(H172)</f>
        <v>8.5982394780934612E-3</v>
      </c>
      <c r="L172" s="5">
        <f>LN(I173)-LN(I172)</f>
        <v>7.9609777072793264E-3</v>
      </c>
    </row>
    <row r="173" spans="1:12" x14ac:dyDescent="0.5">
      <c r="A173" s="11">
        <v>34608</v>
      </c>
      <c r="B173" s="12">
        <v>7213.0789999999997</v>
      </c>
      <c r="C173" s="12">
        <v>11279.932000000001</v>
      </c>
      <c r="D173" s="12">
        <v>66.093000000000004</v>
      </c>
      <c r="E173" s="13">
        <v>5.28</v>
      </c>
      <c r="F173" s="14">
        <v>197601</v>
      </c>
      <c r="G173" s="15">
        <f t="shared" si="2"/>
        <v>5.4170414256944355E-3</v>
      </c>
      <c r="H173" s="16">
        <f>C173*1000/F173</f>
        <v>57.084387224761009</v>
      </c>
      <c r="I173" s="16">
        <f>B173*1000/F173</f>
        <v>36.503251501763657</v>
      </c>
      <c r="J173" s="5">
        <f t="shared" si="3"/>
        <v>7.7829585743055645E-3</v>
      </c>
      <c r="K173" s="5">
        <f>LN(H174)-LN(H173)</f>
        <v>2.1204790464510737E-3</v>
      </c>
      <c r="L173" s="5">
        <f>LN(I174)-LN(I173)</f>
        <v>1.0648112508109264E-3</v>
      </c>
    </row>
    <row r="174" spans="1:12" x14ac:dyDescent="0.5">
      <c r="A174" s="11">
        <v>34700</v>
      </c>
      <c r="B174" s="12">
        <v>7231.0320000000002</v>
      </c>
      <c r="C174" s="12">
        <v>11319.950999999999</v>
      </c>
      <c r="D174" s="12">
        <v>66.451999999999998</v>
      </c>
      <c r="E174" s="13">
        <v>5.74</v>
      </c>
      <c r="F174" s="14">
        <v>197882</v>
      </c>
      <c r="G174" s="15">
        <f t="shared" si="2"/>
        <v>4.7889720193756702E-3</v>
      </c>
      <c r="H174" s="16">
        <f>C174*1000/F174</f>
        <v>57.205561900526575</v>
      </c>
      <c r="I174" s="16">
        <f>B174*1000/F174</f>
        <v>36.542141276114045</v>
      </c>
      <c r="J174" s="5">
        <f t="shared" si="3"/>
        <v>9.5610279806243297E-3</v>
      </c>
      <c r="K174" s="5">
        <f>LN(H175)-LN(H174)</f>
        <v>8.8881704424359498E-4</v>
      </c>
      <c r="L174" s="5">
        <f>LN(I175)-LN(I174)</f>
        <v>6.6384856722967456E-3</v>
      </c>
    </row>
    <row r="175" spans="1:12" x14ac:dyDescent="0.5">
      <c r="A175" s="11">
        <v>34790</v>
      </c>
      <c r="B175" s="12">
        <v>7294.424</v>
      </c>
      <c r="C175" s="12">
        <v>11353.721</v>
      </c>
      <c r="D175" s="12">
        <v>66.771000000000001</v>
      </c>
      <c r="E175" s="13">
        <v>5.6</v>
      </c>
      <c r="F175" s="14">
        <v>198296</v>
      </c>
      <c r="G175" s="15">
        <f t="shared" si="2"/>
        <v>4.9151894340280222E-3</v>
      </c>
      <c r="H175" s="16">
        <f>C175*1000/F175</f>
        <v>57.25642978174043</v>
      </c>
      <c r="I175" s="16">
        <f>B175*1000/F175</f>
        <v>36.785532738935736</v>
      </c>
      <c r="J175" s="5">
        <f t="shared" si="3"/>
        <v>9.0848105659719763E-3</v>
      </c>
      <c r="K175" s="5">
        <f>LN(H176)-LN(H175)</f>
        <v>5.897631255443514E-3</v>
      </c>
      <c r="L175" s="5">
        <f>LN(I176)-LN(I175)</f>
        <v>6.4479434857940277E-3</v>
      </c>
    </row>
    <row r="176" spans="1:12" x14ac:dyDescent="0.5">
      <c r="A176" s="11">
        <v>34881</v>
      </c>
      <c r="B176" s="12">
        <v>7360.5290000000005</v>
      </c>
      <c r="C176" s="12">
        <v>11450.31</v>
      </c>
      <c r="D176" s="12">
        <v>67.099999999999994</v>
      </c>
      <c r="E176" s="13">
        <v>5.37</v>
      </c>
      <c r="F176" s="14">
        <v>198807</v>
      </c>
      <c r="G176" s="15">
        <f t="shared" si="2"/>
        <v>4.8021620201534887E-3</v>
      </c>
      <c r="H176" s="16">
        <f>C176*1000/F176</f>
        <v>57.595104800132795</v>
      </c>
      <c r="I176" s="16">
        <f>B176*1000/F176</f>
        <v>37.023490118557191</v>
      </c>
      <c r="J176" s="5">
        <f t="shared" si="3"/>
        <v>8.6228379798465107E-3</v>
      </c>
      <c r="K176" s="5">
        <f>LN(H177)-LN(H176)</f>
        <v>4.0302652341015488E-3</v>
      </c>
      <c r="L176" s="5">
        <f>LN(I177)-LN(I176)</f>
        <v>4.2137672289013217E-3</v>
      </c>
    </row>
    <row r="177" spans="1:12" x14ac:dyDescent="0.5">
      <c r="A177" s="11">
        <v>34973</v>
      </c>
      <c r="B177" s="12">
        <v>7411.8729999999996</v>
      </c>
      <c r="C177" s="12">
        <v>11528.066999999999</v>
      </c>
      <c r="D177" s="12">
        <v>67.423000000000002</v>
      </c>
      <c r="E177" s="13">
        <v>5.26</v>
      </c>
      <c r="F177" s="14">
        <v>199352</v>
      </c>
      <c r="G177" s="15">
        <f t="shared" si="2"/>
        <v>4.7939723388088495E-3</v>
      </c>
      <c r="H177" s="16">
        <f>C177*1000/F177</f>
        <v>57.827696737429271</v>
      </c>
      <c r="I177" s="16">
        <f>B177*1000/F177</f>
        <v>37.179827641558653</v>
      </c>
      <c r="J177" s="5">
        <f t="shared" si="3"/>
        <v>8.3560276611911507E-3</v>
      </c>
      <c r="K177" s="5">
        <f>LN(H178)-LN(H177)</f>
        <v>5.3379542346725373E-3</v>
      </c>
      <c r="L177" s="5">
        <f>LN(I178)-LN(I177)</f>
        <v>7.0558674665184284E-3</v>
      </c>
    </row>
    <row r="178" spans="1:12" x14ac:dyDescent="0.5">
      <c r="A178" s="11">
        <v>35065</v>
      </c>
      <c r="B178" s="12">
        <v>7480.2309999999998</v>
      </c>
      <c r="C178" s="12">
        <v>11614.418</v>
      </c>
      <c r="D178" s="12">
        <v>67.747</v>
      </c>
      <c r="E178" s="13">
        <v>4.93</v>
      </c>
      <c r="F178" s="14">
        <v>199776</v>
      </c>
      <c r="G178" s="15">
        <f t="shared" si="2"/>
        <v>4.1392067935683841E-3</v>
      </c>
      <c r="H178" s="16">
        <f>C178*1000/F178</f>
        <v>58.137203668108285</v>
      </c>
      <c r="I178" s="16">
        <f>B178*1000/F178</f>
        <v>37.443091262213677</v>
      </c>
      <c r="J178" s="5">
        <f t="shared" si="3"/>
        <v>8.1857932064316151E-3</v>
      </c>
      <c r="K178" s="5">
        <f>LN(H179)-LN(H178)</f>
        <v>1.4027211248748728E-2</v>
      </c>
      <c r="L178" s="5">
        <f>LN(I179)-LN(I178)</f>
        <v>8.1857136007053022E-3</v>
      </c>
    </row>
    <row r="179" spans="1:12" x14ac:dyDescent="0.5">
      <c r="A179" s="11">
        <v>35156</v>
      </c>
      <c r="B179" s="12">
        <v>7560.7020000000002</v>
      </c>
      <c r="C179" s="12">
        <v>11808.14</v>
      </c>
      <c r="D179" s="12">
        <v>68.028000000000006</v>
      </c>
      <c r="E179" s="13">
        <v>5.0199999999999996</v>
      </c>
      <c r="F179" s="14">
        <v>200279</v>
      </c>
      <c r="G179" s="15">
        <f t="shared" si="2"/>
        <v>3.2727008422144266E-3</v>
      </c>
      <c r="H179" s="16">
        <f>C179*1000/F179</f>
        <v>58.958452958123416</v>
      </c>
      <c r="I179" s="16">
        <f>B179*1000/F179</f>
        <v>37.750847567643135</v>
      </c>
      <c r="J179" s="5">
        <f t="shared" si="3"/>
        <v>9.2772991577855721E-3</v>
      </c>
      <c r="K179" s="5">
        <f>LN(H180)-LN(H179)</f>
        <v>6.0833765669148221E-3</v>
      </c>
      <c r="L179" s="5">
        <f>LN(I180)-LN(I179)</f>
        <v>3.1888488637830115E-3</v>
      </c>
    </row>
    <row r="180" spans="1:12" x14ac:dyDescent="0.5">
      <c r="A180" s="11">
        <v>35247</v>
      </c>
      <c r="B180" s="12">
        <v>7606.4750000000004</v>
      </c>
      <c r="C180" s="12">
        <v>11914.063</v>
      </c>
      <c r="D180" s="12">
        <v>68.251000000000005</v>
      </c>
      <c r="E180" s="13">
        <v>5.0999999999999996</v>
      </c>
      <c r="F180" s="14">
        <v>200850</v>
      </c>
      <c r="G180" s="15">
        <f t="shared" si="2"/>
        <v>5.319083749214748E-3</v>
      </c>
      <c r="H180" s="16">
        <f>C180*1000/F180</f>
        <v>59.318212596465024</v>
      </c>
      <c r="I180" s="16">
        <f>B180*1000/F180</f>
        <v>37.8714214588001</v>
      </c>
      <c r="J180" s="5">
        <f t="shared" si="3"/>
        <v>7.4309162507852512E-3</v>
      </c>
      <c r="K180" s="5">
        <f>LN(H181)-LN(H180)</f>
        <v>7.3125567445586626E-3</v>
      </c>
      <c r="L180" s="5">
        <f>LN(I181)-LN(I180)</f>
        <v>4.9160345912580006E-3</v>
      </c>
    </row>
    <row r="181" spans="1:12" x14ac:dyDescent="0.5">
      <c r="A181" s="11">
        <v>35339</v>
      </c>
      <c r="B181" s="12">
        <v>7667.0619999999999</v>
      </c>
      <c r="C181" s="12">
        <v>12037.775</v>
      </c>
      <c r="D181" s="12">
        <v>68.614999999999995</v>
      </c>
      <c r="E181" s="13">
        <v>4.9800000000000004</v>
      </c>
      <c r="F181" s="14">
        <v>201457</v>
      </c>
      <c r="G181" s="15">
        <f t="shared" si="2"/>
        <v>5.9575880946223236E-3</v>
      </c>
      <c r="H181" s="16">
        <f>C181*1000/F181</f>
        <v>59.753570240795803</v>
      </c>
      <c r="I181" s="16">
        <f>B181*1000/F181</f>
        <v>38.058057054358997</v>
      </c>
      <c r="J181" s="5">
        <f t="shared" si="3"/>
        <v>6.4924119053776774E-3</v>
      </c>
      <c r="K181" s="5">
        <f>LN(H182)-LN(H181)</f>
        <v>1.7834760760040425E-3</v>
      </c>
      <c r="L181" s="5">
        <f>LN(I182)-LN(I181)</f>
        <v>5.8355511459113885E-3</v>
      </c>
    </row>
    <row r="182" spans="1:12" x14ac:dyDescent="0.5">
      <c r="A182" s="11">
        <v>35431</v>
      </c>
      <c r="B182" s="12">
        <v>7747.88</v>
      </c>
      <c r="C182" s="12">
        <v>12115.472</v>
      </c>
      <c r="D182" s="12">
        <v>69.025000000000006</v>
      </c>
      <c r="E182" s="13">
        <v>5.0599999999999996</v>
      </c>
      <c r="F182" s="14">
        <v>202396</v>
      </c>
      <c r="G182" s="15">
        <f t="shared" si="2"/>
        <v>1.9828210307126781E-3</v>
      </c>
      <c r="H182" s="16">
        <f>C182*1000/F182</f>
        <v>59.860234391984029</v>
      </c>
      <c r="I182" s="16">
        <f>B182*1000/F182</f>
        <v>38.280796063163301</v>
      </c>
      <c r="J182" s="5">
        <f t="shared" si="3"/>
        <v>1.0667178969287322E-2</v>
      </c>
      <c r="K182" s="5">
        <f>LN(H183)-LN(H182)</f>
        <v>1.434838472226474E-2</v>
      </c>
      <c r="L182" s="5">
        <f>LN(I183)-LN(I182)</f>
        <v>2.3251072260230821E-3</v>
      </c>
    </row>
    <row r="183" spans="1:12" x14ac:dyDescent="0.5">
      <c r="A183" s="11">
        <v>35521</v>
      </c>
      <c r="B183" s="12">
        <v>7782.76</v>
      </c>
      <c r="C183" s="12">
        <v>12317.221</v>
      </c>
      <c r="D183" s="12">
        <v>69.162000000000006</v>
      </c>
      <c r="E183" s="13">
        <v>5.05</v>
      </c>
      <c r="F183" s="14">
        <v>202835</v>
      </c>
      <c r="G183" s="15">
        <f t="shared" si="2"/>
        <v>4.3570539114128337E-3</v>
      </c>
      <c r="H183" s="16">
        <f>C183*1000/F183</f>
        <v>60.725323538836989</v>
      </c>
      <c r="I183" s="16">
        <f>B183*1000/F183</f>
        <v>38.369906574309169</v>
      </c>
      <c r="J183" s="5">
        <f t="shared" si="3"/>
        <v>8.2679460885871654E-3</v>
      </c>
      <c r="K183" s="5">
        <f>LN(H184)-LN(H183)</f>
        <v>9.7889984080454795E-3</v>
      </c>
      <c r="L183" s="5">
        <f>LN(I184)-LN(I183)</f>
        <v>1.4274630246887909E-2</v>
      </c>
    </row>
    <row r="184" spans="1:12" x14ac:dyDescent="0.5">
      <c r="A184" s="11">
        <v>35612</v>
      </c>
      <c r="B184" s="12">
        <v>7915.3590000000004</v>
      </c>
      <c r="C184" s="12">
        <v>12471.01</v>
      </c>
      <c r="D184" s="12">
        <v>69.463999999999999</v>
      </c>
      <c r="E184" s="13">
        <v>5.05</v>
      </c>
      <c r="F184" s="14">
        <v>203367</v>
      </c>
      <c r="G184" s="15">
        <f t="shared" si="2"/>
        <v>3.3199464235060816E-3</v>
      </c>
      <c r="H184" s="16">
        <f>C184*1000/F184</f>
        <v>61.322682637792759</v>
      </c>
      <c r="I184" s="16">
        <f>B184*1000/F184</f>
        <v>38.921550694065409</v>
      </c>
      <c r="J184" s="5">
        <f t="shared" si="3"/>
        <v>9.3050535764939175E-3</v>
      </c>
      <c r="K184" s="5">
        <f>LN(H185)-LN(H184)</f>
        <v>5.713267992562443E-3</v>
      </c>
      <c r="L184" s="5">
        <f>LN(I185)-LN(I184)</f>
        <v>9.0921304097091316E-3</v>
      </c>
    </row>
    <row r="185" spans="1:12" x14ac:dyDescent="0.5">
      <c r="A185" s="11">
        <v>35704</v>
      </c>
      <c r="B185" s="12">
        <v>8009.9639999999999</v>
      </c>
      <c r="C185" s="12">
        <v>12577.495000000001</v>
      </c>
      <c r="D185" s="12">
        <v>69.694999999999993</v>
      </c>
      <c r="E185" s="13">
        <v>5.09</v>
      </c>
      <c r="F185" s="14">
        <v>203935</v>
      </c>
      <c r="G185" s="15">
        <f t="shared" si="2"/>
        <v>1.4194670063272241E-3</v>
      </c>
      <c r="H185" s="16">
        <f>C185*1000/F185</f>
        <v>61.674038296516045</v>
      </c>
      <c r="I185" s="16">
        <f>B185*1000/F185</f>
        <v>39.277044156226246</v>
      </c>
      <c r="J185" s="5">
        <f t="shared" si="3"/>
        <v>1.1305532993672776E-2</v>
      </c>
      <c r="K185" s="5">
        <f>LN(H186)-LN(H185)</f>
        <v>7.7344093162512451E-3</v>
      </c>
      <c r="L185" s="5">
        <f>LN(I186)-LN(I185)</f>
        <v>7.8113788426472652E-3</v>
      </c>
    </row>
    <row r="186" spans="1:12" x14ac:dyDescent="0.5">
      <c r="A186" s="11">
        <v>35796</v>
      </c>
      <c r="B186" s="12">
        <v>8090.9870000000001</v>
      </c>
      <c r="C186" s="12">
        <v>12703.742</v>
      </c>
      <c r="D186" s="12">
        <v>69.793999999999997</v>
      </c>
      <c r="E186" s="13">
        <v>5.05</v>
      </c>
      <c r="F186" s="14">
        <v>204395</v>
      </c>
      <c r="G186" s="15">
        <f t="shared" si="2"/>
        <v>2.3613099778474478E-3</v>
      </c>
      <c r="H186" s="16">
        <f>C186*1000/F186</f>
        <v>62.152900022016198</v>
      </c>
      <c r="I186" s="16">
        <f>B186*1000/F186</f>
        <v>39.585053450426869</v>
      </c>
      <c r="J186" s="5">
        <f t="shared" si="3"/>
        <v>1.0263690022152551E-2</v>
      </c>
      <c r="K186" s="5">
        <f>LN(H187)-LN(H186)</f>
        <v>6.7222355782305954E-3</v>
      </c>
      <c r="L186" s="5">
        <f>LN(I187)-LN(I186)</f>
        <v>1.4963916825077916E-2</v>
      </c>
    </row>
    <row r="187" spans="1:12" x14ac:dyDescent="0.5">
      <c r="A187" s="11">
        <v>35886</v>
      </c>
      <c r="B187" s="12">
        <v>8233.4629999999997</v>
      </c>
      <c r="C187" s="12">
        <v>12821.339</v>
      </c>
      <c r="D187" s="12">
        <v>69.959000000000003</v>
      </c>
      <c r="E187" s="13">
        <v>4.9800000000000004</v>
      </c>
      <c r="F187" s="14">
        <v>204905</v>
      </c>
      <c r="G187" s="15">
        <f t="shared" si="2"/>
        <v>4.2221238922790505E-3</v>
      </c>
      <c r="H187" s="16">
        <f>C187*1000/F187</f>
        <v>62.57211390644445</v>
      </c>
      <c r="I187" s="16">
        <f>B187*1000/F187</f>
        <v>40.181855005978377</v>
      </c>
      <c r="J187" s="5">
        <f t="shared" si="3"/>
        <v>8.2278761077209505E-3</v>
      </c>
      <c r="K187" s="5">
        <f>LN(H188)-LN(H187)</f>
        <v>9.6939667178954636E-3</v>
      </c>
      <c r="L187" s="5">
        <f>LN(I188)-LN(I187)</f>
        <v>1.0139299505959709E-2</v>
      </c>
    </row>
    <row r="188" spans="1:12" x14ac:dyDescent="0.5">
      <c r="A188" s="11">
        <v>35977</v>
      </c>
      <c r="B188" s="12">
        <v>8340.8310000000001</v>
      </c>
      <c r="C188" s="12">
        <v>12982.752</v>
      </c>
      <c r="D188" s="12">
        <v>70.254999999999995</v>
      </c>
      <c r="E188" s="13">
        <v>4.82</v>
      </c>
      <c r="F188" s="14">
        <v>205483</v>
      </c>
      <c r="G188" s="15">
        <f t="shared" si="2"/>
        <v>2.814340772215651E-3</v>
      </c>
      <c r="H188" s="16">
        <f>C188*1000/F188</f>
        <v>63.18163546376099</v>
      </c>
      <c r="I188" s="16">
        <f>B188*1000/F188</f>
        <v>40.591343322805294</v>
      </c>
      <c r="J188" s="5">
        <f t="shared" si="3"/>
        <v>9.2356592277843489E-3</v>
      </c>
      <c r="K188" s="5">
        <f>LN(H189)-LN(H188)</f>
        <v>1.2975384121923561E-2</v>
      </c>
      <c r="L188" s="5">
        <f>LN(I189)-LN(I188)</f>
        <v>1.135504160049905E-2</v>
      </c>
    </row>
    <row r="189" spans="1:12" x14ac:dyDescent="0.5">
      <c r="A189" s="11">
        <v>36069</v>
      </c>
      <c r="B189" s="12">
        <v>8461.33</v>
      </c>
      <c r="C189" s="12">
        <v>13191.67</v>
      </c>
      <c r="D189" s="12">
        <v>70.453000000000003</v>
      </c>
      <c r="E189" s="13">
        <v>4.25</v>
      </c>
      <c r="F189" s="14">
        <v>206098</v>
      </c>
      <c r="G189" s="15">
        <f t="shared" si="2"/>
        <v>3.2451227684573425E-3</v>
      </c>
      <c r="H189" s="16">
        <f>C189*1000/F189</f>
        <v>64.006783180816896</v>
      </c>
      <c r="I189" s="16">
        <f>B189*1000/F189</f>
        <v>41.054886510300925</v>
      </c>
      <c r="J189" s="5">
        <f t="shared" si="3"/>
        <v>7.3798772315426583E-3</v>
      </c>
      <c r="K189" s="5">
        <f>LN(H190)-LN(H189)</f>
        <v>5.5826889931021029E-3</v>
      </c>
      <c r="L189" s="5">
        <f>LN(I190)-LN(I189)</f>
        <v>6.4506610918506624E-3</v>
      </c>
    </row>
    <row r="190" spans="1:12" x14ac:dyDescent="0.5">
      <c r="A190" s="11">
        <v>36161</v>
      </c>
      <c r="B190" s="12">
        <v>8548.2350000000006</v>
      </c>
      <c r="C190" s="12">
        <v>13315.597</v>
      </c>
      <c r="D190" s="12">
        <v>70.682000000000002</v>
      </c>
      <c r="E190" s="13">
        <v>4.41</v>
      </c>
      <c r="F190" s="14">
        <v>206876</v>
      </c>
      <c r="G190" s="15">
        <f t="shared" si="2"/>
        <v>3.7703654750487203E-3</v>
      </c>
      <c r="H190" s="16">
        <f>C190*1000/F190</f>
        <v>64.365112434501825</v>
      </c>
      <c r="I190" s="16">
        <f>B190*1000/F190</f>
        <v>41.320573676985248</v>
      </c>
      <c r="J190" s="5">
        <f t="shared" si="3"/>
        <v>7.2546345249512798E-3</v>
      </c>
      <c r="K190" s="5">
        <f>LN(H191)-LN(H190)</f>
        <v>5.6287866876258974E-3</v>
      </c>
      <c r="L190" s="5">
        <f>LN(I191)-LN(I190)</f>
        <v>1.2513967027066641E-2</v>
      </c>
    </row>
    <row r="191" spans="1:12" x14ac:dyDescent="0.5">
      <c r="A191" s="11">
        <v>36251</v>
      </c>
      <c r="B191" s="12">
        <v>8679.143</v>
      </c>
      <c r="C191" s="12">
        <v>13426.748</v>
      </c>
      <c r="D191" s="12">
        <v>70.948999999999998</v>
      </c>
      <c r="E191" s="13">
        <v>4.45</v>
      </c>
      <c r="F191" s="14">
        <v>207432</v>
      </c>
      <c r="G191" s="15">
        <f t="shared" si="2"/>
        <v>3.5315093439045597E-3</v>
      </c>
      <c r="H191" s="16">
        <f>C191*1000/F191</f>
        <v>64.728431485980948</v>
      </c>
      <c r="I191" s="16">
        <f>B191*1000/F191</f>
        <v>41.840906899610474</v>
      </c>
      <c r="J191" s="5">
        <f t="shared" si="3"/>
        <v>7.5934906560954415E-3</v>
      </c>
      <c r="K191" s="5">
        <f>LN(H192)-LN(H191)</f>
        <v>1.0225682612476028E-2</v>
      </c>
      <c r="L191" s="5">
        <f>LN(I192)-LN(I191)</f>
        <v>8.2333800988774186E-3</v>
      </c>
    </row>
    <row r="192" spans="1:12" x14ac:dyDescent="0.5">
      <c r="A192" s="11">
        <v>36342</v>
      </c>
      <c r="B192" s="12">
        <v>8776.7150000000001</v>
      </c>
      <c r="C192" s="12">
        <v>13604.771000000001</v>
      </c>
      <c r="D192" s="12">
        <v>71.2</v>
      </c>
      <c r="E192" s="13">
        <v>4.6500000000000004</v>
      </c>
      <c r="F192" s="14">
        <v>208044</v>
      </c>
      <c r="G192" s="15">
        <f t="shared" si="2"/>
        <v>5.5324207080396093E-3</v>
      </c>
      <c r="H192" s="16">
        <f>C192*1000/F192</f>
        <v>65.393719597777391</v>
      </c>
      <c r="I192" s="16">
        <f>B192*1000/F192</f>
        <v>42.186821057084082</v>
      </c>
      <c r="J192" s="5">
        <f t="shared" si="3"/>
        <v>6.0925792919603924E-3</v>
      </c>
      <c r="K192" s="5">
        <f>LN(H193)-LN(H192)</f>
        <v>1.3316998422994608E-2</v>
      </c>
      <c r="L192" s="5">
        <f>LN(I193)-LN(I192)</f>
        <v>1.1564631158895722E-2</v>
      </c>
    </row>
    <row r="193" spans="1:12" x14ac:dyDescent="0.5">
      <c r="A193" s="11">
        <v>36434</v>
      </c>
      <c r="B193" s="12">
        <v>8905.0930000000008</v>
      </c>
      <c r="C193" s="12">
        <v>13827.98</v>
      </c>
      <c r="D193" s="12">
        <v>71.594999999999999</v>
      </c>
      <c r="E193" s="13">
        <v>5.04</v>
      </c>
      <c r="F193" s="14">
        <v>208660</v>
      </c>
      <c r="G193" s="15">
        <f t="shared" si="2"/>
        <v>6.6265051130356412E-3</v>
      </c>
      <c r="H193" s="16">
        <f>C193*1000/F193</f>
        <v>66.270392025304318</v>
      </c>
      <c r="I193" s="16">
        <f>B193*1000/F193</f>
        <v>42.67752803603949</v>
      </c>
      <c r="J193" s="5">
        <f t="shared" si="3"/>
        <v>5.9734948869643589E-3</v>
      </c>
      <c r="K193" s="5">
        <f>LN(H194)-LN(H193)</f>
        <v>-1.0304033176542049E-2</v>
      </c>
      <c r="L193" s="5">
        <f>LN(I194)-LN(I193)</f>
        <v>1.0819823537158157E-3</v>
      </c>
    </row>
    <row r="194" spans="1:12" x14ac:dyDescent="0.5">
      <c r="A194" s="11">
        <v>36526</v>
      </c>
      <c r="B194" s="12">
        <v>9039.7430000000004</v>
      </c>
      <c r="C194" s="12">
        <v>13878.147000000001</v>
      </c>
      <c r="D194" s="12">
        <v>72.070999999999998</v>
      </c>
      <c r="E194" s="13">
        <v>5.52</v>
      </c>
      <c r="F194" s="14">
        <v>211586</v>
      </c>
      <c r="G194" s="15">
        <f t="shared" si="2"/>
        <v>6.2106416476455095E-3</v>
      </c>
      <c r="H194" s="16">
        <f>C194*1000/F194</f>
        <v>65.591045721361525</v>
      </c>
      <c r="I194" s="16">
        <f>B194*1000/F194</f>
        <v>42.723729358275122</v>
      </c>
      <c r="J194" s="5">
        <f t="shared" si="3"/>
        <v>7.5893583523544902E-3</v>
      </c>
      <c r="K194" s="5">
        <f>LN(H195)-LN(H194)</f>
        <v>1.4953412489926876E-2</v>
      </c>
      <c r="L194" s="5">
        <f>LN(I195)-LN(I194)</f>
        <v>6.1986209918254431E-3</v>
      </c>
    </row>
    <row r="195" spans="1:12" x14ac:dyDescent="0.5">
      <c r="A195" s="11">
        <v>36617</v>
      </c>
      <c r="B195" s="12">
        <v>9124.152</v>
      </c>
      <c r="C195" s="12">
        <v>14130.907999999999</v>
      </c>
      <c r="D195" s="12">
        <v>72.52</v>
      </c>
      <c r="E195" s="13">
        <v>5.71</v>
      </c>
      <c r="F195" s="14">
        <v>212242</v>
      </c>
      <c r="G195" s="15">
        <f t="shared" ref="G195:G258" si="4">LN(D196)-LN(D195)</f>
        <v>5.8296375844353321E-3</v>
      </c>
      <c r="H195" s="16">
        <f>C195*1000/F195</f>
        <v>66.579225600964932</v>
      </c>
      <c r="I195" s="16">
        <f>B195*1000/F195</f>
        <v>42.989380047304493</v>
      </c>
      <c r="J195" s="5">
        <f t="shared" ref="J195:J258" si="5">(E195/400)-G195</f>
        <v>8.4453624155646674E-3</v>
      </c>
      <c r="K195" s="5">
        <f>LN(H196)-LN(H195)</f>
        <v>-2.1658719106785185E-3</v>
      </c>
      <c r="L195" s="5">
        <f>LN(I196)-LN(I195)</f>
        <v>6.350551806373339E-3</v>
      </c>
    </row>
    <row r="196" spans="1:12" x14ac:dyDescent="0.5">
      <c r="A196" s="11">
        <v>36708</v>
      </c>
      <c r="B196" s="12">
        <v>9211.5689999999995</v>
      </c>
      <c r="C196" s="12">
        <v>14145.312</v>
      </c>
      <c r="D196" s="12">
        <v>72.944000000000003</v>
      </c>
      <c r="E196" s="13">
        <v>6.02</v>
      </c>
      <c r="F196" s="14">
        <v>212919</v>
      </c>
      <c r="G196" s="15">
        <f t="shared" si="4"/>
        <v>5.3732329632074638E-3</v>
      </c>
      <c r="H196" s="16">
        <f>C196*1000/F196</f>
        <v>66.43517957533146</v>
      </c>
      <c r="I196" s="16">
        <f>B196*1000/F196</f>
        <v>43.263255040649263</v>
      </c>
      <c r="J196" s="5">
        <f t="shared" si="5"/>
        <v>9.6767670367925353E-3</v>
      </c>
      <c r="K196" s="5">
        <f>LN(H197)-LN(H196)</f>
        <v>2.9466238467694694E-3</v>
      </c>
      <c r="L196" s="5">
        <f>LN(I197)-LN(I196)</f>
        <v>5.6929898643698351E-3</v>
      </c>
    </row>
    <row r="197" spans="1:12" x14ac:dyDescent="0.5">
      <c r="A197" s="11">
        <v>36800</v>
      </c>
      <c r="B197" s="12">
        <v>9292.0499999999993</v>
      </c>
      <c r="C197" s="12">
        <v>14229.764999999999</v>
      </c>
      <c r="D197" s="12">
        <v>73.337000000000003</v>
      </c>
      <c r="E197" s="13">
        <v>6.02</v>
      </c>
      <c r="F197" s="14">
        <v>213560</v>
      </c>
      <c r="G197" s="15">
        <f t="shared" si="4"/>
        <v>6.5915337292983267E-3</v>
      </c>
      <c r="H197" s="16">
        <f>C197*1000/F197</f>
        <v>66.631227758007114</v>
      </c>
      <c r="I197" s="16">
        <f>B197*1000/F197</f>
        <v>43.510254729350066</v>
      </c>
      <c r="J197" s="5">
        <f t="shared" si="5"/>
        <v>8.4584662707016724E-3</v>
      </c>
      <c r="K197" s="5">
        <f>LN(H198)-LN(H197)</f>
        <v>-5.8134151165054604E-3</v>
      </c>
      <c r="L197" s="5">
        <f>LN(I198)-LN(I197)</f>
        <v>1.090259946114891E-3</v>
      </c>
    </row>
    <row r="198" spans="1:12" x14ac:dyDescent="0.5">
      <c r="A198" s="11">
        <v>36892</v>
      </c>
      <c r="B198" s="12">
        <v>9325.7510000000002</v>
      </c>
      <c r="C198" s="12">
        <v>14183.12</v>
      </c>
      <c r="D198" s="12">
        <v>73.822000000000003</v>
      </c>
      <c r="E198" s="13">
        <v>4.82</v>
      </c>
      <c r="F198" s="14">
        <v>214101</v>
      </c>
      <c r="G198" s="15">
        <f t="shared" si="4"/>
        <v>5.9964525204545538E-3</v>
      </c>
      <c r="H198" s="16">
        <f>C198*1000/F198</f>
        <v>66.244996520333856</v>
      </c>
      <c r="I198" s="16">
        <f>B198*1000/F198</f>
        <v>43.557718086323746</v>
      </c>
      <c r="J198" s="5">
        <f t="shared" si="5"/>
        <v>6.0535474795454462E-3</v>
      </c>
      <c r="K198" s="5">
        <f>LN(H199)-LN(H198)</f>
        <v>3.2641095586694036E-3</v>
      </c>
      <c r="L198" s="5">
        <f>LN(I199)-LN(I198)</f>
        <v>-9.5456211654898482E-4</v>
      </c>
    </row>
    <row r="199" spans="1:12" x14ac:dyDescent="0.5">
      <c r="A199" s="11">
        <v>36982</v>
      </c>
      <c r="B199" s="12">
        <v>9344.4860000000008</v>
      </c>
      <c r="C199" s="12">
        <v>14271.694</v>
      </c>
      <c r="D199" s="12">
        <v>74.266000000000005</v>
      </c>
      <c r="E199" s="13">
        <v>3.66</v>
      </c>
      <c r="F199" s="14">
        <v>214736</v>
      </c>
      <c r="G199" s="15">
        <f t="shared" si="4"/>
        <v>3.924103299183912E-3</v>
      </c>
      <c r="H199" s="16">
        <f>C199*1000/F199</f>
        <v>66.461580731689139</v>
      </c>
      <c r="I199" s="16">
        <f>B199*1000/F199</f>
        <v>43.516159377095597</v>
      </c>
      <c r="J199" s="5">
        <f t="shared" si="5"/>
        <v>5.2258967008160882E-3</v>
      </c>
      <c r="K199" s="5">
        <f>LN(H200)-LN(H199)</f>
        <v>-7.2039674549193577E-3</v>
      </c>
      <c r="L199" s="5">
        <f>LN(I200)-LN(I199)</f>
        <v>2.8423723648662857E-4</v>
      </c>
    </row>
    <row r="200" spans="1:12" x14ac:dyDescent="0.5">
      <c r="A200" s="11">
        <v>37073</v>
      </c>
      <c r="B200" s="12">
        <v>9377.0030000000006</v>
      </c>
      <c r="C200" s="12">
        <v>14214.516</v>
      </c>
      <c r="D200" s="12">
        <v>74.558000000000007</v>
      </c>
      <c r="E200" s="13">
        <v>3.17</v>
      </c>
      <c r="F200" s="14">
        <v>215422</v>
      </c>
      <c r="G200" s="15">
        <f t="shared" si="4"/>
        <v>3.1335814057840139E-3</v>
      </c>
      <c r="H200" s="16">
        <f>C200*1000/F200</f>
        <v>65.984514116478351</v>
      </c>
      <c r="I200" s="16">
        <f>B200*1000/F200</f>
        <v>43.528530047998814</v>
      </c>
      <c r="J200" s="5">
        <f t="shared" si="5"/>
        <v>4.7914185942159859E-3</v>
      </c>
      <c r="K200" s="5">
        <f>LN(H201)-LN(H200)</f>
        <v>-4.5391044749898413E-4</v>
      </c>
      <c r="L200" s="5">
        <f>LN(I201)-LN(I200)</f>
        <v>1.2808428485385104E-2</v>
      </c>
    </row>
    <row r="201" spans="1:12" x14ac:dyDescent="0.5">
      <c r="A201" s="11">
        <v>37165</v>
      </c>
      <c r="B201" s="12">
        <v>9528.3019999999997</v>
      </c>
      <c r="C201" s="12">
        <v>14253.574000000001</v>
      </c>
      <c r="D201" s="12">
        <v>74.792000000000002</v>
      </c>
      <c r="E201" s="13">
        <v>1.91</v>
      </c>
      <c r="F201" s="14">
        <v>216112</v>
      </c>
      <c r="G201" s="15">
        <f t="shared" si="4"/>
        <v>3.1371213628439421E-3</v>
      </c>
      <c r="H201" s="16">
        <f>C201*1000/F201</f>
        <v>65.954569852668982</v>
      </c>
      <c r="I201" s="16">
        <f>B201*1000/F201</f>
        <v>44.089647960316874</v>
      </c>
      <c r="J201" s="5">
        <f t="shared" si="5"/>
        <v>1.6378786371560577E-3</v>
      </c>
      <c r="K201" s="5">
        <f>LN(H202)-LN(H201)</f>
        <v>5.777830933779704E-3</v>
      </c>
      <c r="L201" s="5">
        <f>LN(I202)-LN(I201)</f>
        <v>-3.2702965948239182E-4</v>
      </c>
    </row>
    <row r="202" spans="1:12" x14ac:dyDescent="0.5">
      <c r="A202" s="11">
        <v>37257</v>
      </c>
      <c r="B202" s="12">
        <v>9549.5159999999996</v>
      </c>
      <c r="C202" s="12">
        <v>14372.785</v>
      </c>
      <c r="D202" s="12">
        <v>75.027000000000001</v>
      </c>
      <c r="E202" s="13">
        <v>1.72</v>
      </c>
      <c r="F202" s="14">
        <v>216664</v>
      </c>
      <c r="G202" s="15">
        <f t="shared" si="4"/>
        <v>3.4859930456088151E-3</v>
      </c>
      <c r="H202" s="16">
        <f>C202*1000/F202</f>
        <v>66.336747221504268</v>
      </c>
      <c r="I202" s="16">
        <f>B202*1000/F202</f>
        <v>44.075231695159324</v>
      </c>
      <c r="J202" s="5">
        <f t="shared" si="5"/>
        <v>8.1400695439118494E-4</v>
      </c>
      <c r="K202" s="5">
        <f>LN(H203)-LN(H202)</f>
        <v>3.6191340505302705E-3</v>
      </c>
      <c r="L202" s="5">
        <f>LN(I203)-LN(I202)</f>
        <v>2.5562791301321219E-3</v>
      </c>
    </row>
    <row r="203" spans="1:12" x14ac:dyDescent="0.5">
      <c r="A203" s="11">
        <v>37347</v>
      </c>
      <c r="B203" s="12">
        <v>9597.82</v>
      </c>
      <c r="C203" s="12">
        <v>14460.848</v>
      </c>
      <c r="D203" s="12">
        <v>75.289000000000001</v>
      </c>
      <c r="E203" s="13">
        <v>1.71</v>
      </c>
      <c r="F203" s="14">
        <v>217204</v>
      </c>
      <c r="G203" s="15">
        <f t="shared" si="4"/>
        <v>4.7833984368983451E-3</v>
      </c>
      <c r="H203" s="16">
        <f>C203*1000/F203</f>
        <v>66.577263770464626</v>
      </c>
      <c r="I203" s="16">
        <f>B203*1000/F203</f>
        <v>44.188044419071474</v>
      </c>
      <c r="J203" s="5">
        <f t="shared" si="5"/>
        <v>-5.0839843689834494E-4</v>
      </c>
      <c r="K203" s="5">
        <f>LN(H204)-LN(H203)</f>
        <v>1.0045033338466069E-3</v>
      </c>
      <c r="L203" s="5">
        <f>LN(I204)-LN(I203)</f>
        <v>3.9215109994810149E-3</v>
      </c>
    </row>
    <row r="204" spans="1:12" x14ac:dyDescent="0.5">
      <c r="A204" s="11">
        <v>37438</v>
      </c>
      <c r="B204" s="12">
        <v>9664.9879999999994</v>
      </c>
      <c r="C204" s="12">
        <v>14519.633</v>
      </c>
      <c r="D204" s="12">
        <v>75.650000000000006</v>
      </c>
      <c r="E204" s="13">
        <v>1.64</v>
      </c>
      <c r="F204" s="14">
        <v>217868</v>
      </c>
      <c r="G204" s="15">
        <f t="shared" si="4"/>
        <v>5.7862675362549965E-3</v>
      </c>
      <c r="H204" s="16">
        <f>C204*1000/F204</f>
        <v>66.644174454256699</v>
      </c>
      <c r="I204" s="16">
        <f>B204*1000/F204</f>
        <v>44.361668533240312</v>
      </c>
      <c r="J204" s="5">
        <f t="shared" si="5"/>
        <v>-1.686267536254997E-3</v>
      </c>
      <c r="K204" s="5">
        <f>LN(H205)-LN(H204)</f>
        <v>-1.8581294584878449E-3</v>
      </c>
      <c r="L204" s="5">
        <f>LN(I205)-LN(I204)</f>
        <v>2.4532071413152501E-3</v>
      </c>
    </row>
    <row r="205" spans="1:12" x14ac:dyDescent="0.5">
      <c r="A205" s="11">
        <v>37530</v>
      </c>
      <c r="B205" s="12">
        <v>9718.7450000000008</v>
      </c>
      <c r="C205" s="12">
        <v>14537.58</v>
      </c>
      <c r="D205" s="12">
        <v>76.088999999999999</v>
      </c>
      <c r="E205" s="13">
        <v>1.33</v>
      </c>
      <c r="F205" s="14">
        <v>218543</v>
      </c>
      <c r="G205" s="15">
        <f t="shared" si="4"/>
        <v>4.8770991460989066E-3</v>
      </c>
      <c r="H205" s="16">
        <f>C205*1000/F205</f>
        <v>66.520455928581555</v>
      </c>
      <c r="I205" s="16">
        <f>B205*1000/F205</f>
        <v>44.470630493770102</v>
      </c>
      <c r="J205" s="5">
        <f t="shared" si="5"/>
        <v>-1.5520991460989063E-3</v>
      </c>
      <c r="K205" s="5">
        <f>LN(H206)-LN(H205)</f>
        <v>-1.8874859224293772E-3</v>
      </c>
      <c r="L205" s="5">
        <f>LN(I206)-LN(I205)</f>
        <v>-2.2265419700566724E-3</v>
      </c>
    </row>
    <row r="206" spans="1:12" x14ac:dyDescent="0.5">
      <c r="A206" s="11">
        <v>37622</v>
      </c>
      <c r="B206" s="12">
        <v>9766.616</v>
      </c>
      <c r="C206" s="12">
        <v>14614.141</v>
      </c>
      <c r="D206" s="12">
        <v>76.460999999999999</v>
      </c>
      <c r="E206" s="13">
        <v>1.1599999999999999</v>
      </c>
      <c r="F206" s="14">
        <v>220109</v>
      </c>
      <c r="G206" s="15">
        <f t="shared" si="4"/>
        <v>3.5119592728545257E-3</v>
      </c>
      <c r="H206" s="16">
        <f>C206*1000/F206</f>
        <v>66.39501792293818</v>
      </c>
      <c r="I206" s="16">
        <f>B206*1000/F206</f>
        <v>44.371724918108754</v>
      </c>
      <c r="J206" s="5">
        <f t="shared" si="5"/>
        <v>-6.1195927285452589E-4</v>
      </c>
      <c r="K206" s="5">
        <f>LN(H207)-LN(H206)</f>
        <v>5.8005548073571944E-3</v>
      </c>
      <c r="L206" s="5">
        <f>LN(I207)-LN(I206)</f>
        <v>8.368091743688133E-3</v>
      </c>
    </row>
    <row r="207" spans="1:12" x14ac:dyDescent="0.5">
      <c r="A207" s="11">
        <v>37712</v>
      </c>
      <c r="B207" s="12">
        <v>9878.4419999999991</v>
      </c>
      <c r="C207" s="12">
        <v>14743.566999999999</v>
      </c>
      <c r="D207" s="12">
        <v>76.73</v>
      </c>
      <c r="E207" s="13">
        <v>1.04</v>
      </c>
      <c r="F207" s="14">
        <v>220774</v>
      </c>
      <c r="G207" s="15">
        <f t="shared" si="4"/>
        <v>5.7050557924522849E-3</v>
      </c>
      <c r="H207" s="16">
        <f>C207*1000/F207</f>
        <v>66.781265004031269</v>
      </c>
      <c r="I207" s="16">
        <f>B207*1000/F207</f>
        <v>44.744589489704403</v>
      </c>
      <c r="J207" s="5">
        <f t="shared" si="5"/>
        <v>-3.105055792452285E-3</v>
      </c>
      <c r="K207" s="5">
        <f>LN(H208)-LN(H207)</f>
        <v>1.3153477924315204E-2</v>
      </c>
      <c r="L207" s="5">
        <f>LN(I208)-LN(I207)</f>
        <v>1.069912126175776E-2</v>
      </c>
    </row>
    <row r="208" spans="1:12" x14ac:dyDescent="0.5">
      <c r="A208" s="11">
        <v>37803</v>
      </c>
      <c r="B208" s="12">
        <v>10018.121999999999</v>
      </c>
      <c r="C208" s="12">
        <v>14988.781999999999</v>
      </c>
      <c r="D208" s="12">
        <v>77.168999999999997</v>
      </c>
      <c r="E208" s="13">
        <v>0.93</v>
      </c>
      <c r="F208" s="14">
        <v>221513</v>
      </c>
      <c r="G208" s="15">
        <f t="shared" si="4"/>
        <v>6.0720562770519848E-3</v>
      </c>
      <c r="H208" s="16">
        <f>C208*1000/F208</f>
        <v>67.665473358222769</v>
      </c>
      <c r="I208" s="16">
        <f>B208*1000/F208</f>
        <v>45.225887419699973</v>
      </c>
      <c r="J208" s="5">
        <f t="shared" si="5"/>
        <v>-3.7470562770519846E-3</v>
      </c>
      <c r="K208" s="5">
        <f>LN(H209)-LN(H208)</f>
        <v>8.1017926266930829E-3</v>
      </c>
      <c r="L208" s="5">
        <f>LN(I209)-LN(I208)</f>
        <v>3.4223593200084501E-3</v>
      </c>
    </row>
    <row r="209" spans="1:12" x14ac:dyDescent="0.5">
      <c r="A209" s="11">
        <v>37895</v>
      </c>
      <c r="B209" s="12">
        <v>10087.092000000001</v>
      </c>
      <c r="C209" s="12">
        <v>15162.76</v>
      </c>
      <c r="D209" s="12">
        <v>77.638999999999996</v>
      </c>
      <c r="E209" s="13">
        <v>0.92</v>
      </c>
      <c r="F209" s="14">
        <v>222276</v>
      </c>
      <c r="G209" s="15">
        <f t="shared" si="4"/>
        <v>7.1102512190677203E-3</v>
      </c>
      <c r="H209" s="16">
        <f>C209*1000/F209</f>
        <v>68.21591174935665</v>
      </c>
      <c r="I209" s="16">
        <f>B209*1000/F209</f>
        <v>45.38093181450089</v>
      </c>
      <c r="J209" s="5">
        <f t="shared" si="5"/>
        <v>-4.8102512190677203E-3</v>
      </c>
      <c r="K209" s="5">
        <f>LN(H210)-LN(H209)</f>
        <v>5.2906720909353666E-3</v>
      </c>
      <c r="L209" s="5">
        <f>LN(I210)-LN(I209)</f>
        <v>8.9206525269220904E-3</v>
      </c>
    </row>
    <row r="210" spans="1:12" x14ac:dyDescent="0.5">
      <c r="A210" s="11">
        <v>37987</v>
      </c>
      <c r="B210" s="12">
        <v>10181.141</v>
      </c>
      <c r="C210" s="12">
        <v>15248.68</v>
      </c>
      <c r="D210" s="12">
        <v>78.192999999999998</v>
      </c>
      <c r="E210" s="13">
        <v>0.92</v>
      </c>
      <c r="F210" s="14">
        <v>222356</v>
      </c>
      <c r="G210" s="15">
        <f t="shared" si="4"/>
        <v>8.0373895420278174E-3</v>
      </c>
      <c r="H210" s="16">
        <f>C210*1000/F210</f>
        <v>68.577776178740393</v>
      </c>
      <c r="I210" s="16">
        <f>B210*1000/F210</f>
        <v>45.78757038262966</v>
      </c>
      <c r="J210" s="5">
        <f t="shared" si="5"/>
        <v>-5.7373895420278175E-3</v>
      </c>
      <c r="K210" s="5">
        <f>LN(H211)-LN(H210)</f>
        <v>4.9486630988786473E-3</v>
      </c>
      <c r="L210" s="5">
        <f>LN(I211)-LN(I210)</f>
        <v>2.6706417446766828E-3</v>
      </c>
    </row>
    <row r="211" spans="1:12" x14ac:dyDescent="0.5">
      <c r="A211" s="11">
        <v>38078</v>
      </c>
      <c r="B211" s="12">
        <v>10236.694</v>
      </c>
      <c r="C211" s="12">
        <v>15366.85</v>
      </c>
      <c r="D211" s="12">
        <v>78.823999999999998</v>
      </c>
      <c r="E211" s="13">
        <v>1.08</v>
      </c>
      <c r="F211" s="14">
        <v>222973</v>
      </c>
      <c r="G211" s="15">
        <f t="shared" si="4"/>
        <v>6.3232120034095729E-3</v>
      </c>
      <c r="H211" s="16">
        <f>C211*1000/F211</f>
        <v>68.917985585698716</v>
      </c>
      <c r="I211" s="16">
        <f>B211*1000/F211</f>
        <v>45.91001601090715</v>
      </c>
      <c r="J211" s="5">
        <f t="shared" si="5"/>
        <v>-3.6232120034095728E-3</v>
      </c>
      <c r="K211" s="5">
        <f>LN(H212)-LN(H211)</f>
        <v>6.2754587363418324E-3</v>
      </c>
      <c r="L211" s="5">
        <f>LN(I212)-LN(I211)</f>
        <v>8.5119531221660161E-3</v>
      </c>
    </row>
    <row r="212" spans="1:12" x14ac:dyDescent="0.5">
      <c r="A212" s="11">
        <v>38169</v>
      </c>
      <c r="B212" s="12">
        <v>10356.936</v>
      </c>
      <c r="C212" s="12">
        <v>15512.619000000001</v>
      </c>
      <c r="D212" s="12">
        <v>79.323999999999998</v>
      </c>
      <c r="E212" s="13">
        <v>1.49</v>
      </c>
      <c r="F212" s="14">
        <v>223680</v>
      </c>
      <c r="G212" s="15">
        <f t="shared" si="4"/>
        <v>7.7231127993142579E-3</v>
      </c>
      <c r="H212" s="16">
        <f>C212*1000/F212</f>
        <v>69.351837446351936</v>
      </c>
      <c r="I212" s="16">
        <f>B212*1000/F212</f>
        <v>46.302467811158799</v>
      </c>
      <c r="J212" s="5">
        <f t="shared" si="5"/>
        <v>-3.9981127993142579E-3</v>
      </c>
      <c r="K212" s="5">
        <f>LN(H213)-LN(H212)</f>
        <v>6.8564660312580017E-3</v>
      </c>
      <c r="L212" s="5">
        <f>LN(I213)-LN(I212)</f>
        <v>7.9536502018870969E-3</v>
      </c>
    </row>
    <row r="213" spans="1:12" x14ac:dyDescent="0.5">
      <c r="A213" s="11">
        <v>38261</v>
      </c>
      <c r="B213" s="12">
        <v>10474.084000000001</v>
      </c>
      <c r="C213" s="12">
        <v>15670.88</v>
      </c>
      <c r="D213" s="12">
        <v>79.938999999999993</v>
      </c>
      <c r="E213" s="13">
        <v>2.0099999999999998</v>
      </c>
      <c r="F213" s="14">
        <v>224418</v>
      </c>
      <c r="G213" s="15">
        <f t="shared" si="4"/>
        <v>7.9618155776772781E-3</v>
      </c>
      <c r="H213" s="16">
        <f>C213*1000/F213</f>
        <v>69.828979850101149</v>
      </c>
      <c r="I213" s="16">
        <f>B213*1000/F213</f>
        <v>46.672209894037017</v>
      </c>
      <c r="J213" s="5">
        <f t="shared" si="5"/>
        <v>-2.936815577677279E-3</v>
      </c>
      <c r="K213" s="5">
        <f>LN(H214)-LN(H213)</f>
        <v>8.2736580313698127E-3</v>
      </c>
      <c r="L213" s="5">
        <f>LN(I214)-LN(I213)</f>
        <v>3.5751644088688472E-3</v>
      </c>
    </row>
    <row r="214" spans="1:12" x14ac:dyDescent="0.5">
      <c r="A214" s="11">
        <v>38353</v>
      </c>
      <c r="B214" s="12">
        <v>10540.638000000001</v>
      </c>
      <c r="C214" s="12">
        <v>15844.727000000001</v>
      </c>
      <c r="D214" s="12">
        <v>80.578000000000003</v>
      </c>
      <c r="E214" s="13">
        <v>2.54</v>
      </c>
      <c r="F214" s="14">
        <v>225038</v>
      </c>
      <c r="G214" s="15">
        <f t="shared" si="4"/>
        <v>7.1722125722795127E-3</v>
      </c>
      <c r="H214" s="16">
        <f>C214*1000/F214</f>
        <v>70.409117571254626</v>
      </c>
      <c r="I214" s="16">
        <f>B214*1000/F214</f>
        <v>46.839369350954058</v>
      </c>
      <c r="J214" s="5">
        <f t="shared" si="5"/>
        <v>-8.2221257227951296E-4</v>
      </c>
      <c r="K214" s="5">
        <f>LN(H215)-LN(H214)</f>
        <v>2.0919471184015492E-3</v>
      </c>
      <c r="L214" s="5">
        <f>LN(I215)-LN(I214)</f>
        <v>8.1988085025659352E-3</v>
      </c>
    </row>
    <row r="215" spans="1:12" x14ac:dyDescent="0.5">
      <c r="A215" s="11">
        <v>38443</v>
      </c>
      <c r="B215" s="12">
        <v>10657.449000000001</v>
      </c>
      <c r="C215" s="12">
        <v>15922.781999999999</v>
      </c>
      <c r="D215" s="12">
        <v>81.158000000000001</v>
      </c>
      <c r="E215" s="13">
        <v>2.86</v>
      </c>
      <c r="F215" s="14">
        <v>225674</v>
      </c>
      <c r="G215" s="15">
        <f t="shared" si="4"/>
        <v>9.0766985635761799E-3</v>
      </c>
      <c r="H215" s="16">
        <f>C215*1000/F215</f>
        <v>70.556563893049272</v>
      </c>
      <c r="I215" s="16">
        <f>B215*1000/F215</f>
        <v>47.224974963885963</v>
      </c>
      <c r="J215" s="5">
        <f t="shared" si="5"/>
        <v>-1.9266985635761798E-3</v>
      </c>
      <c r="K215" s="5">
        <f>LN(H216)-LN(H215)</f>
        <v>4.4985469716412041E-3</v>
      </c>
      <c r="L215" s="5">
        <f>LN(I216)-LN(I215)</f>
        <v>4.9536548729300911E-3</v>
      </c>
    </row>
    <row r="216" spans="1:12" x14ac:dyDescent="0.5">
      <c r="A216" s="11">
        <v>38534</v>
      </c>
      <c r="B216" s="12">
        <v>10745.873</v>
      </c>
      <c r="C216" s="12">
        <v>16047.587</v>
      </c>
      <c r="D216" s="12">
        <v>81.897999999999996</v>
      </c>
      <c r="E216" s="13">
        <v>3.36</v>
      </c>
      <c r="F216" s="14">
        <v>226422</v>
      </c>
      <c r="G216" s="15">
        <f t="shared" si="4"/>
        <v>8.1839587557457349E-3</v>
      </c>
      <c r="H216" s="16">
        <f>C216*1000/F216</f>
        <v>70.874680905565711</v>
      </c>
      <c r="I216" s="16">
        <f>B216*1000/F216</f>
        <v>47.459491568840484</v>
      </c>
      <c r="J216" s="5">
        <f t="shared" si="5"/>
        <v>2.1604124425426453E-4</v>
      </c>
      <c r="K216" s="5">
        <f>LN(H217)-LN(H216)</f>
        <v>2.1272260667641874E-3</v>
      </c>
      <c r="L216" s="5">
        <f>LN(I217)-LN(I216)</f>
        <v>-1.5710436967433239E-3</v>
      </c>
    </row>
    <row r="217" spans="1:12" x14ac:dyDescent="0.5">
      <c r="A217" s="11">
        <v>38626</v>
      </c>
      <c r="B217" s="12">
        <v>10765.68</v>
      </c>
      <c r="C217" s="12">
        <v>16136.734</v>
      </c>
      <c r="D217" s="12">
        <v>82.570999999999998</v>
      </c>
      <c r="E217" s="13">
        <v>3.83</v>
      </c>
      <c r="F217" s="14">
        <v>227196</v>
      </c>
      <c r="G217" s="15">
        <f t="shared" si="4"/>
        <v>7.0598324926915978E-3</v>
      </c>
      <c r="H217" s="16">
        <f>C217*1000/F217</f>
        <v>71.02560784520854</v>
      </c>
      <c r="I217" s="16">
        <f>B217*1000/F217</f>
        <v>47.384989172344582</v>
      </c>
      <c r="J217" s="5">
        <f t="shared" si="5"/>
        <v>2.5151675073084023E-3</v>
      </c>
      <c r="K217" s="5">
        <f>LN(H218)-LN(H217)</f>
        <v>1.0867214344029819E-2</v>
      </c>
      <c r="L217" s="5">
        <f>LN(I218)-LN(I217)</f>
        <v>8.3486095742766331E-3</v>
      </c>
    </row>
    <row r="218" spans="1:12" x14ac:dyDescent="0.5">
      <c r="A218" s="11">
        <v>38718</v>
      </c>
      <c r="B218" s="12">
        <v>10883.075000000001</v>
      </c>
      <c r="C218" s="12">
        <v>16353.834999999999</v>
      </c>
      <c r="D218" s="12">
        <v>83.156000000000006</v>
      </c>
      <c r="E218" s="13">
        <v>4.3899999999999997</v>
      </c>
      <c r="F218" s="14">
        <v>227764</v>
      </c>
      <c r="G218" s="15">
        <f t="shared" si="4"/>
        <v>8.692687550673206E-3</v>
      </c>
      <c r="H218" s="16">
        <f>C218*1000/F218</f>
        <v>71.801667515498494</v>
      </c>
      <c r="I218" s="16">
        <f>B218*1000/F218</f>
        <v>47.782243901582341</v>
      </c>
      <c r="J218" s="5">
        <f t="shared" si="5"/>
        <v>2.2823124493267927E-3</v>
      </c>
      <c r="K218" s="5">
        <f>LN(H219)-LN(H218)</f>
        <v>-3.4875979686788128E-4</v>
      </c>
      <c r="L218" s="5">
        <f>LN(I219)-LN(I218)</f>
        <v>2.2381335684587E-3</v>
      </c>
    </row>
    <row r="219" spans="1:12" x14ac:dyDescent="0.5">
      <c r="A219" s="11">
        <v>38808</v>
      </c>
      <c r="B219" s="12">
        <v>10939.498</v>
      </c>
      <c r="C219" s="12">
        <v>16396.151000000002</v>
      </c>
      <c r="D219" s="12">
        <v>83.882000000000005</v>
      </c>
      <c r="E219" s="13">
        <v>4.7</v>
      </c>
      <c r="F219" s="14">
        <v>228433</v>
      </c>
      <c r="G219" s="15">
        <f t="shared" si="4"/>
        <v>6.9617150784537785E-3</v>
      </c>
      <c r="H219" s="16">
        <f>C219*1000/F219</f>
        <v>71.776630346753763</v>
      </c>
      <c r="I219" s="16">
        <f>B219*1000/F219</f>
        <v>47.889306711377081</v>
      </c>
      <c r="J219" s="5">
        <f t="shared" si="5"/>
        <v>4.7882849215462216E-3</v>
      </c>
      <c r="K219" s="5">
        <f>LN(H220)-LN(H219)</f>
        <v>-1.70524502973457E-3</v>
      </c>
      <c r="L219" s="5">
        <f>LN(I220)-LN(I219)</f>
        <v>3.1974718329230711E-3</v>
      </c>
    </row>
    <row r="220" spans="1:12" x14ac:dyDescent="0.5">
      <c r="A220" s="11">
        <v>38899</v>
      </c>
      <c r="B220" s="12">
        <v>11009.748</v>
      </c>
      <c r="C220" s="12">
        <v>16420.738000000001</v>
      </c>
      <c r="D220" s="12">
        <v>84.468000000000004</v>
      </c>
      <c r="E220" s="13">
        <v>4.91</v>
      </c>
      <c r="F220" s="14">
        <v>229166</v>
      </c>
      <c r="G220" s="15">
        <f t="shared" si="4"/>
        <v>3.5689422063196474E-3</v>
      </c>
      <c r="H220" s="16">
        <f>C220*1000/F220</f>
        <v>71.654337903528457</v>
      </c>
      <c r="I220" s="16">
        <f>B220*1000/F220</f>
        <v>48.042676487786146</v>
      </c>
      <c r="J220" s="5">
        <f t="shared" si="5"/>
        <v>8.7060577936803538E-3</v>
      </c>
      <c r="K220" s="5">
        <f>LN(H221)-LN(H220)</f>
        <v>5.377374594193185E-3</v>
      </c>
      <c r="L220" s="5">
        <f>LN(I221)-LN(I220)</f>
        <v>6.3134812544021202E-3</v>
      </c>
    </row>
    <row r="221" spans="1:12" x14ac:dyDescent="0.5">
      <c r="A221" s="11">
        <v>38991</v>
      </c>
      <c r="B221" s="12">
        <v>11114.771000000001</v>
      </c>
      <c r="C221" s="12">
        <v>16561.866000000002</v>
      </c>
      <c r="D221" s="12">
        <v>84.77</v>
      </c>
      <c r="E221" s="13">
        <v>4.9000000000000004</v>
      </c>
      <c r="F221" s="14">
        <v>229896</v>
      </c>
      <c r="G221" s="15">
        <f t="shared" si="4"/>
        <v>9.4631633835149387E-3</v>
      </c>
      <c r="H221" s="16">
        <f>C221*1000/F221</f>
        <v>72.040687963252964</v>
      </c>
      <c r="I221" s="16">
        <f>B221*1000/F221</f>
        <v>48.34695253505933</v>
      </c>
      <c r="J221" s="5">
        <f t="shared" si="5"/>
        <v>2.7868366164850618E-3</v>
      </c>
      <c r="K221" s="5">
        <f>LN(H222)-LN(H221)</f>
        <v>-1.0896244626996676E-3</v>
      </c>
      <c r="L221" s="5">
        <f>LN(I222)-LN(I221)</f>
        <v>2.0552412603898063E-3</v>
      </c>
    </row>
    <row r="222" spans="1:12" x14ac:dyDescent="0.5">
      <c r="A222" s="11">
        <v>39083</v>
      </c>
      <c r="B222" s="12">
        <v>11183.323</v>
      </c>
      <c r="C222" s="12">
        <v>16611.689999999999</v>
      </c>
      <c r="D222" s="12">
        <v>85.575999999999993</v>
      </c>
      <c r="E222" s="13">
        <v>4.9800000000000004</v>
      </c>
      <c r="F222" s="14">
        <v>230839</v>
      </c>
      <c r="G222" s="15">
        <f t="shared" si="4"/>
        <v>6.9288241474350087E-3</v>
      </c>
      <c r="H222" s="16">
        <f>C222*1000/F222</f>
        <v>71.962233418096588</v>
      </c>
      <c r="I222" s="16">
        <f>B222*1000/F222</f>
        <v>48.446419365878384</v>
      </c>
      <c r="J222" s="5">
        <f t="shared" si="5"/>
        <v>5.5211758525649923E-3</v>
      </c>
      <c r="K222" s="5">
        <f>LN(H223)-LN(H222)</f>
        <v>3.3173640196011434E-3</v>
      </c>
      <c r="L222" s="5">
        <f>LN(I223)-LN(I222)</f>
        <v>-1.6096991509995107E-4</v>
      </c>
    </row>
    <row r="223" spans="1:12" x14ac:dyDescent="0.5">
      <c r="A223" s="11">
        <v>39173</v>
      </c>
      <c r="B223" s="12">
        <v>11212.669</v>
      </c>
      <c r="C223" s="12">
        <v>16713.313999999998</v>
      </c>
      <c r="D223" s="12">
        <v>86.171000000000006</v>
      </c>
      <c r="E223" s="13">
        <v>4.74</v>
      </c>
      <c r="F223" s="14">
        <v>231482</v>
      </c>
      <c r="G223" s="15">
        <f t="shared" si="4"/>
        <v>5.450992300892743E-3</v>
      </c>
      <c r="H223" s="16">
        <f>C223*1000/F223</f>
        <v>72.201354748965358</v>
      </c>
      <c r="I223" s="16">
        <f>B223*1000/F223</f>
        <v>48.438621577487666</v>
      </c>
      <c r="J223" s="5">
        <f t="shared" si="5"/>
        <v>6.3990076991072582E-3</v>
      </c>
      <c r="K223" s="5">
        <f>LN(H224)-LN(H223)</f>
        <v>2.6037131743166242E-3</v>
      </c>
      <c r="L223" s="5">
        <f>LN(I224)-LN(I223)</f>
        <v>3.5087660745372062E-3</v>
      </c>
    </row>
    <row r="224" spans="1:12" x14ac:dyDescent="0.5">
      <c r="A224" s="11">
        <v>39264</v>
      </c>
      <c r="B224" s="12">
        <v>11287.468000000001</v>
      </c>
      <c r="C224" s="12">
        <v>16809.587</v>
      </c>
      <c r="D224" s="12">
        <v>86.641999999999996</v>
      </c>
      <c r="E224" s="13">
        <v>4.3</v>
      </c>
      <c r="F224" s="14">
        <v>232210</v>
      </c>
      <c r="G224" s="15">
        <f t="shared" si="4"/>
        <v>4.0429691952503788E-3</v>
      </c>
      <c r="H224" s="16">
        <f>C224*1000/F224</f>
        <v>72.389591318203344</v>
      </c>
      <c r="I224" s="16">
        <f>B224*1000/F224</f>
        <v>48.608879893200118</v>
      </c>
      <c r="J224" s="5">
        <f t="shared" si="5"/>
        <v>6.7070308047496204E-3</v>
      </c>
      <c r="K224" s="5">
        <f>LN(H225)-LN(H224)</f>
        <v>3.1368194321466092E-3</v>
      </c>
      <c r="L224" s="5">
        <f>LN(I225)-LN(I224)</f>
        <v>8.0710160399721786E-4</v>
      </c>
    </row>
    <row r="225" spans="1:12" x14ac:dyDescent="0.5">
      <c r="A225" s="11">
        <v>39356</v>
      </c>
      <c r="B225" s="12">
        <v>11331.949000000001</v>
      </c>
      <c r="C225" s="12">
        <v>16915.190999999999</v>
      </c>
      <c r="D225" s="12">
        <v>86.992999999999995</v>
      </c>
      <c r="E225" s="13">
        <v>3.39</v>
      </c>
      <c r="F225" s="14">
        <v>232937</v>
      </c>
      <c r="G225" s="15">
        <f t="shared" si="4"/>
        <v>3.6946137444013871E-3</v>
      </c>
      <c r="H225" s="16">
        <f>C225*1000/F225</f>
        <v>72.61702091123351</v>
      </c>
      <c r="I225" s="16">
        <f>B225*1000/F225</f>
        <v>48.6481280346188</v>
      </c>
      <c r="J225" s="5">
        <f t="shared" si="5"/>
        <v>4.7803862555986128E-3</v>
      </c>
      <c r="K225" s="5">
        <f>LN(H226)-LN(H225)</f>
        <v>-3.7185289851322523E-3</v>
      </c>
      <c r="L225" s="5">
        <f>LN(I226)-LN(I225)</f>
        <v>-8.13861789506376E-4</v>
      </c>
    </row>
    <row r="226" spans="1:12" x14ac:dyDescent="0.5">
      <c r="A226" s="11">
        <v>39448</v>
      </c>
      <c r="B226" s="12">
        <v>11316.411</v>
      </c>
      <c r="C226" s="12">
        <v>16843.003000000001</v>
      </c>
      <c r="D226" s="12">
        <v>87.314999999999998</v>
      </c>
      <c r="E226" s="13">
        <v>2.04</v>
      </c>
      <c r="F226" s="14">
        <v>232807</v>
      </c>
      <c r="G226" s="15">
        <f t="shared" si="4"/>
        <v>4.8328314659880078E-3</v>
      </c>
      <c r="H226" s="16">
        <f>C226*1000/F226</f>
        <v>72.347493846834496</v>
      </c>
      <c r="I226" s="16">
        <f>B226*1000/F226</f>
        <v>48.608551289265357</v>
      </c>
      <c r="J226" s="5">
        <f t="shared" si="5"/>
        <v>2.6716853401199253E-4</v>
      </c>
      <c r="K226" s="5">
        <f>LN(H227)-LN(H226)</f>
        <v>3.3498462289696107E-3</v>
      </c>
      <c r="L226" s="5">
        <f>LN(I227)-LN(I226)</f>
        <v>1.6507446491198507E-4</v>
      </c>
    </row>
    <row r="227" spans="1:12" x14ac:dyDescent="0.5">
      <c r="A227" s="11">
        <v>39539</v>
      </c>
      <c r="B227" s="12">
        <v>11347.594999999999</v>
      </c>
      <c r="C227" s="12">
        <v>16943.291000000001</v>
      </c>
      <c r="D227" s="12">
        <v>87.738</v>
      </c>
      <c r="E227" s="13">
        <v>1.63</v>
      </c>
      <c r="F227" s="14">
        <v>233410</v>
      </c>
      <c r="G227" s="15">
        <f t="shared" si="4"/>
        <v>7.5055565046229233E-3</v>
      </c>
      <c r="H227" s="16">
        <f>C227*1000/F227</f>
        <v>72.590253202519179</v>
      </c>
      <c r="I227" s="16">
        <f>B227*1000/F227</f>
        <v>48.616575982177288</v>
      </c>
      <c r="J227" s="5">
        <f t="shared" si="5"/>
        <v>-3.4305565046229237E-3</v>
      </c>
      <c r="K227" s="5">
        <f>LN(H228)-LN(H227)</f>
        <v>-8.26095033891594E-3</v>
      </c>
      <c r="L227" s="5">
        <f>LN(I228)-LN(I227)</f>
        <v>-1.0731652946294634E-2</v>
      </c>
    </row>
    <row r="228" spans="1:12" x14ac:dyDescent="0.5">
      <c r="A228" s="11">
        <v>39630</v>
      </c>
      <c r="B228" s="12">
        <v>11260.136</v>
      </c>
      <c r="C228" s="12">
        <v>16854.294999999998</v>
      </c>
      <c r="D228" s="12">
        <v>88.399000000000001</v>
      </c>
      <c r="E228" s="13">
        <v>1.49</v>
      </c>
      <c r="F228" s="14">
        <v>234110</v>
      </c>
      <c r="G228" s="15">
        <f t="shared" si="4"/>
        <v>2.4179163475848142E-3</v>
      </c>
      <c r="H228" s="16">
        <f>C228*1000/F228</f>
        <v>71.993058818504124</v>
      </c>
      <c r="I228" s="16">
        <f>B228*1000/F228</f>
        <v>48.097629319550641</v>
      </c>
      <c r="J228" s="5">
        <f t="shared" si="5"/>
        <v>1.3070836524151858E-3</v>
      </c>
      <c r="K228" s="5">
        <f>LN(H229)-LN(H228)</f>
        <v>-2.5182878247838048E-2</v>
      </c>
      <c r="L228" s="5">
        <f>LN(I229)-LN(I228)</f>
        <v>-1.208965239432791E-2</v>
      </c>
    </row>
    <row r="229" spans="1:12" x14ac:dyDescent="0.5">
      <c r="A229" s="11">
        <v>39722</v>
      </c>
      <c r="B229" s="12">
        <v>11158.800999999999</v>
      </c>
      <c r="C229" s="12">
        <v>16485.349999999999</v>
      </c>
      <c r="D229" s="12">
        <v>88.613</v>
      </c>
      <c r="E229" s="13">
        <v>0.3</v>
      </c>
      <c r="F229" s="14">
        <v>234825</v>
      </c>
      <c r="G229" s="15">
        <f t="shared" si="4"/>
        <v>-7.9026398928672137E-4</v>
      </c>
      <c r="H229" s="16">
        <f>C229*1000/F229</f>
        <v>70.202704141381872</v>
      </c>
      <c r="I229" s="16">
        <f>B229*1000/F229</f>
        <v>47.519646545299693</v>
      </c>
      <c r="J229" s="5">
        <f t="shared" si="5"/>
        <v>1.5402639892867214E-3</v>
      </c>
      <c r="K229" s="5">
        <f>LN(H230)-LN(H229)</f>
        <v>-1.178830831185973E-2</v>
      </c>
      <c r="L229" s="5">
        <f>LN(I230)-LN(I229)</f>
        <v>-2.9173373103725808E-3</v>
      </c>
    </row>
    <row r="230" spans="1:12" x14ac:dyDescent="0.5">
      <c r="A230" s="11">
        <v>39814</v>
      </c>
      <c r="B230" s="12">
        <v>11130.464</v>
      </c>
      <c r="C230" s="12">
        <v>16298.262000000001</v>
      </c>
      <c r="D230" s="12">
        <v>88.543000000000006</v>
      </c>
      <c r="E230" s="13">
        <v>0.21</v>
      </c>
      <c r="F230" s="14">
        <v>234913</v>
      </c>
      <c r="G230" s="15">
        <f t="shared" si="4"/>
        <v>-1.6615899696592606E-3</v>
      </c>
      <c r="H230" s="16">
        <f>C230*1000/F230</f>
        <v>69.379991741623499</v>
      </c>
      <c r="I230" s="16">
        <f>B230*1000/F230</f>
        <v>47.381217727413976</v>
      </c>
      <c r="J230" s="5">
        <f t="shared" si="5"/>
        <v>2.1865899696592605E-3</v>
      </c>
      <c r="K230" s="5">
        <f>LN(H231)-LN(H230)</f>
        <v>-4.1096750202607168E-3</v>
      </c>
      <c r="L230" s="5">
        <f>LN(I231)-LN(I230)</f>
        <v>-7.2495681957054359E-3</v>
      </c>
    </row>
    <row r="231" spans="1:12" x14ac:dyDescent="0.5">
      <c r="A231" s="11">
        <v>39904</v>
      </c>
      <c r="B231" s="12">
        <v>11075.748</v>
      </c>
      <c r="C231" s="12">
        <v>16269.145</v>
      </c>
      <c r="D231" s="12">
        <v>88.396000000000001</v>
      </c>
      <c r="E231" s="13">
        <v>0.17</v>
      </c>
      <c r="F231" s="14">
        <v>235459</v>
      </c>
      <c r="G231" s="15">
        <f t="shared" si="4"/>
        <v>1.1871316340155147E-3</v>
      </c>
      <c r="H231" s="16">
        <f>C231*1000/F231</f>
        <v>69.095447615083728</v>
      </c>
      <c r="I231" s="16">
        <f>B231*1000/F231</f>
        <v>47.038966444264183</v>
      </c>
      <c r="J231" s="5">
        <f t="shared" si="5"/>
        <v>-7.6213163401551466E-4</v>
      </c>
      <c r="K231" s="5">
        <f>LN(H232)-LN(H231)</f>
        <v>8.1677698441229296E-4</v>
      </c>
      <c r="L231" s="5">
        <f>LN(I232)-LN(I231)</f>
        <v>4.0132777794452679E-3</v>
      </c>
    </row>
    <row r="232" spans="1:12" x14ac:dyDescent="0.5">
      <c r="A232" s="11">
        <v>39995</v>
      </c>
      <c r="B232" s="12">
        <v>11150.23</v>
      </c>
      <c r="C232" s="12">
        <v>16326.281000000001</v>
      </c>
      <c r="D232" s="12">
        <v>88.501000000000005</v>
      </c>
      <c r="E232" s="13">
        <v>0.16</v>
      </c>
      <c r="F232" s="14">
        <v>236093</v>
      </c>
      <c r="G232" s="15">
        <f t="shared" si="4"/>
        <v>3.1588117555321205E-3</v>
      </c>
      <c r="H232" s="16">
        <f>C232*1000/F232</f>
        <v>69.151906240337496</v>
      </c>
      <c r="I232" s="16">
        <f>B232*1000/F232</f>
        <v>47.228126204504157</v>
      </c>
      <c r="J232" s="5">
        <f t="shared" si="5"/>
        <v>-2.7588117555321203E-3</v>
      </c>
      <c r="K232" s="5">
        <f>LN(H233)-LN(H232)</f>
        <v>8.0186621035709393E-3</v>
      </c>
      <c r="L232" s="5">
        <f>LN(I233)-LN(I232)</f>
        <v>-3.8347618832110797E-3</v>
      </c>
    </row>
    <row r="233" spans="1:12" x14ac:dyDescent="0.5">
      <c r="A233" s="11">
        <v>40087</v>
      </c>
      <c r="B233" s="12">
        <v>11137.946</v>
      </c>
      <c r="C233" s="12">
        <v>16502.754000000001</v>
      </c>
      <c r="D233" s="12">
        <v>88.781000000000006</v>
      </c>
      <c r="E233" s="13">
        <v>0.06</v>
      </c>
      <c r="F233" s="14">
        <v>236739</v>
      </c>
      <c r="G233" s="15">
        <f t="shared" si="4"/>
        <v>2.8681191877577561E-3</v>
      </c>
      <c r="H233" s="16">
        <f>C233*1000/F233</f>
        <v>69.708641161785764</v>
      </c>
      <c r="I233" s="16">
        <f>B233*1000/F233</f>
        <v>47.047364397078638</v>
      </c>
      <c r="J233" s="5">
        <f t="shared" si="5"/>
        <v>-2.7181191877577561E-3</v>
      </c>
      <c r="K233" s="5">
        <f>LN(H234)-LN(H233)</f>
        <v>3.7483153386785872E-3</v>
      </c>
      <c r="L233" s="5">
        <f>LN(I234)-LN(I233)</f>
        <v>4.693689578586735E-3</v>
      </c>
    </row>
    <row r="234" spans="1:12" x14ac:dyDescent="0.5">
      <c r="A234" s="11">
        <v>40179</v>
      </c>
      <c r="B234" s="12">
        <v>11202.495000000001</v>
      </c>
      <c r="C234" s="12">
        <v>16582.71</v>
      </c>
      <c r="D234" s="12">
        <v>89.036000000000001</v>
      </c>
      <c r="E234" s="13">
        <v>0.11</v>
      </c>
      <c r="F234" s="14">
        <v>236996</v>
      </c>
      <c r="G234" s="15">
        <f t="shared" si="4"/>
        <v>4.8737680994941357E-3</v>
      </c>
      <c r="H234" s="16">
        <f>C234*1000/F234</f>
        <v>69.970421441712091</v>
      </c>
      <c r="I234" s="16">
        <f>B234*1000/F234</f>
        <v>47.268709176526187</v>
      </c>
      <c r="J234" s="5">
        <f t="shared" si="5"/>
        <v>-4.5987680994941356E-3</v>
      </c>
      <c r="K234" s="5">
        <f>LN(H235)-LN(H234)</f>
        <v>7.4797268646973336E-3</v>
      </c>
      <c r="L234" s="5">
        <f>LN(I235)-LN(I234)</f>
        <v>6.7780516497233378E-3</v>
      </c>
    </row>
    <row r="235" spans="1:12" x14ac:dyDescent="0.5">
      <c r="A235" s="11">
        <v>40269</v>
      </c>
      <c r="B235" s="12">
        <v>11302.955</v>
      </c>
      <c r="C235" s="12">
        <v>16743.162</v>
      </c>
      <c r="D235" s="12">
        <v>89.471000000000004</v>
      </c>
      <c r="E235" s="13">
        <v>0.15</v>
      </c>
      <c r="F235" s="14">
        <v>237506</v>
      </c>
      <c r="G235" s="15">
        <f t="shared" si="4"/>
        <v>3.0354794698368437E-3</v>
      </c>
      <c r="H235" s="16">
        <f>C235*1000/F235</f>
        <v>70.495743265433291</v>
      </c>
      <c r="I235" s="16">
        <f>B235*1000/F235</f>
        <v>47.590187195270858</v>
      </c>
      <c r="J235" s="5">
        <f t="shared" si="5"/>
        <v>-2.6604794698368438E-3</v>
      </c>
      <c r="K235" s="5">
        <f>LN(H236)-LN(H235)</f>
        <v>5.1666060027741878E-3</v>
      </c>
      <c r="L235" s="5">
        <f>LN(I236)-LN(I235)</f>
        <v>4.5945090940646693E-3</v>
      </c>
    </row>
    <row r="236" spans="1:12" x14ac:dyDescent="0.5">
      <c r="A236" s="11">
        <v>40360</v>
      </c>
      <c r="B236" s="12">
        <v>11383.596</v>
      </c>
      <c r="C236" s="12">
        <v>16872.266</v>
      </c>
      <c r="D236" s="12">
        <v>89.742999999999995</v>
      </c>
      <c r="E236" s="13">
        <v>0.16</v>
      </c>
      <c r="F236" s="14">
        <v>238104</v>
      </c>
      <c r="G236" s="15">
        <f t="shared" si="4"/>
        <v>5.7886799384503362E-3</v>
      </c>
      <c r="H236" s="16">
        <f>C236*1000/F236</f>
        <v>70.860909518529724</v>
      </c>
      <c r="I236" s="16">
        <f>B236*1000/F236</f>
        <v>47.809343816147567</v>
      </c>
      <c r="J236" s="5">
        <f t="shared" si="5"/>
        <v>-5.3886799384503361E-3</v>
      </c>
      <c r="K236" s="5">
        <f>LN(H237)-LN(H236)</f>
        <v>2.6913014278564518E-3</v>
      </c>
      <c r="L236" s="5">
        <f>LN(I237)-LN(I236)</f>
        <v>3.5644012490441135E-3</v>
      </c>
    </row>
    <row r="237" spans="1:12" x14ac:dyDescent="0.5">
      <c r="A237" s="11">
        <v>40452</v>
      </c>
      <c r="B237" s="12">
        <v>11453.368</v>
      </c>
      <c r="C237" s="12">
        <v>16960.864000000001</v>
      </c>
      <c r="D237" s="12">
        <v>90.263999999999996</v>
      </c>
      <c r="E237" s="13">
        <v>0.14000000000000001</v>
      </c>
      <c r="F237" s="14">
        <v>238711</v>
      </c>
      <c r="G237" s="15">
        <f t="shared" si="4"/>
        <v>5.1052655224417265E-3</v>
      </c>
      <c r="H237" s="16">
        <f>C237*1000/F237</f>
        <v>71.051874442317285</v>
      </c>
      <c r="I237" s="16">
        <f>B237*1000/F237</f>
        <v>47.980059569940224</v>
      </c>
      <c r="J237" s="5">
        <f t="shared" si="5"/>
        <v>-4.7552655224417269E-3</v>
      </c>
      <c r="K237" s="5">
        <f>LN(H238)-LN(H237)</f>
        <v>-2.9653647608016698E-3</v>
      </c>
      <c r="L237" s="5">
        <f>LN(I238)-LN(I237)</f>
        <v>3.2222359791336252E-3</v>
      </c>
    </row>
    <row r="238" spans="1:12" x14ac:dyDescent="0.5">
      <c r="A238" s="11">
        <v>40544</v>
      </c>
      <c r="B238" s="12">
        <v>11497.12</v>
      </c>
      <c r="C238" s="12">
        <v>16920.632000000001</v>
      </c>
      <c r="D238" s="12">
        <v>90.725999999999999</v>
      </c>
      <c r="E238" s="13">
        <v>0.13</v>
      </c>
      <c r="F238" s="14">
        <v>238852</v>
      </c>
      <c r="G238" s="15">
        <f t="shared" si="4"/>
        <v>6.5915471669972803E-3</v>
      </c>
      <c r="H238" s="16">
        <f>C238*1000/F238</f>
        <v>70.841491802455081</v>
      </c>
      <c r="I238" s="16">
        <f>B238*1000/F238</f>
        <v>48.134911995712827</v>
      </c>
      <c r="J238" s="5">
        <f t="shared" si="5"/>
        <v>-6.2665471669972805E-3</v>
      </c>
      <c r="K238" s="5">
        <f>LN(H239)-LN(H238)</f>
        <v>4.8022963666394247E-3</v>
      </c>
      <c r="L238" s="5">
        <f>LN(I239)-LN(I238)</f>
        <v>-9.1231677378056375E-4</v>
      </c>
    </row>
    <row r="239" spans="1:12" x14ac:dyDescent="0.5">
      <c r="A239" s="11">
        <v>40634</v>
      </c>
      <c r="B239" s="12">
        <v>11508.95</v>
      </c>
      <c r="C239" s="12">
        <v>17035.114000000001</v>
      </c>
      <c r="D239" s="12">
        <v>91.325999999999993</v>
      </c>
      <c r="E239" s="13">
        <v>0.05</v>
      </c>
      <c r="F239" s="14">
        <v>239316</v>
      </c>
      <c r="G239" s="15">
        <f t="shared" si="4"/>
        <v>6.0043193019234664E-3</v>
      </c>
      <c r="H239" s="16">
        <f>C239*1000/F239</f>
        <v>71.182511825368962</v>
      </c>
      <c r="I239" s="16">
        <f>B239*1000/F239</f>
        <v>48.091017733874878</v>
      </c>
      <c r="J239" s="5">
        <f t="shared" si="5"/>
        <v>-5.8793193019234663E-3</v>
      </c>
      <c r="K239" s="5">
        <f>LN(H240)-LN(H239)</f>
        <v>-2.539576733782134E-3</v>
      </c>
      <c r="L239" s="5">
        <f>LN(I240)-LN(I239)</f>
        <v>7.2223781324520786E-4</v>
      </c>
    </row>
    <row r="240" spans="1:12" x14ac:dyDescent="0.5">
      <c r="A240" s="11">
        <v>40725</v>
      </c>
      <c r="B240" s="12">
        <v>11543.975</v>
      </c>
      <c r="C240" s="12">
        <v>17031.312999999998</v>
      </c>
      <c r="D240" s="12">
        <v>91.876000000000005</v>
      </c>
      <c r="E240" s="13">
        <v>0.02</v>
      </c>
      <c r="F240" s="14">
        <v>239871</v>
      </c>
      <c r="G240" s="15">
        <f t="shared" si="4"/>
        <v>1.1856784502386475E-3</v>
      </c>
      <c r="H240" s="16">
        <f>C240*1000/F240</f>
        <v>71.00196772431849</v>
      </c>
      <c r="I240" s="16">
        <f>B240*1000/F240</f>
        <v>48.125763431177589</v>
      </c>
      <c r="J240" s="5">
        <f t="shared" si="5"/>
        <v>-1.1356784502386476E-3</v>
      </c>
      <c r="K240" s="5">
        <f>LN(H241)-LN(H240)</f>
        <v>8.8360295539695599E-3</v>
      </c>
      <c r="L240" s="5">
        <f>LN(I241)-LN(I240)</f>
        <v>-6.0821127018506616E-4</v>
      </c>
    </row>
    <row r="241" spans="1:12" x14ac:dyDescent="0.5">
      <c r="A241" s="11">
        <v>40817</v>
      </c>
      <c r="B241" s="12">
        <v>11563.89</v>
      </c>
      <c r="C241" s="12">
        <v>17222.582999999999</v>
      </c>
      <c r="D241" s="12">
        <v>91.984999999999999</v>
      </c>
      <c r="E241" s="13">
        <v>0.01</v>
      </c>
      <c r="F241" s="14">
        <v>240431</v>
      </c>
      <c r="G241" s="15">
        <f t="shared" si="4"/>
        <v>5.853357994473285E-3</v>
      </c>
      <c r="H241" s="16">
        <f>C241*1000/F241</f>
        <v>71.632123145517838</v>
      </c>
      <c r="I241" s="16">
        <f>B241*1000/F241</f>
        <v>48.096501699032153</v>
      </c>
      <c r="J241" s="5">
        <f t="shared" si="5"/>
        <v>-5.8283579944732851E-3</v>
      </c>
      <c r="K241" s="5">
        <f>LN(H242)-LN(H241)</f>
        <v>4.6329893961249979E-5</v>
      </c>
      <c r="L241" s="5">
        <f>LN(I242)-LN(I241)</f>
        <v>-1.1177878300161481E-3</v>
      </c>
    </row>
    <row r="242" spans="1:12" x14ac:dyDescent="0.5">
      <c r="A242" s="11">
        <v>40909</v>
      </c>
      <c r="B242" s="12">
        <v>11647.297</v>
      </c>
      <c r="C242" s="12">
        <v>17367.009999999998</v>
      </c>
      <c r="D242" s="12">
        <v>92.525000000000006</v>
      </c>
      <c r="E242" s="13">
        <v>7.0000000000000007E-2</v>
      </c>
      <c r="F242" s="14">
        <v>242436</v>
      </c>
      <c r="G242" s="15">
        <f t="shared" si="4"/>
        <v>4.1201145474527578E-3</v>
      </c>
      <c r="H242" s="16">
        <f>C242*1000/F242</f>
        <v>71.635441931066339</v>
      </c>
      <c r="I242" s="16">
        <f>B242*1000/F242</f>
        <v>48.042770050652543</v>
      </c>
      <c r="J242" s="5">
        <f t="shared" si="5"/>
        <v>-3.945114547452758E-3</v>
      </c>
      <c r="K242" s="5">
        <f>LN(H243)-LN(H242)</f>
        <v>2.2614268595049225E-3</v>
      </c>
      <c r="L242" s="5">
        <f>LN(I243)-LN(I242)</f>
        <v>-4.3724255884614038E-4</v>
      </c>
    </row>
    <row r="243" spans="1:12" x14ac:dyDescent="0.5">
      <c r="A243" s="11">
        <v>41000</v>
      </c>
      <c r="B243" s="12">
        <v>11667.753000000001</v>
      </c>
      <c r="C243" s="12">
        <v>17444.525000000001</v>
      </c>
      <c r="D243" s="12">
        <v>92.906999999999996</v>
      </c>
      <c r="E243" s="13">
        <v>0.09</v>
      </c>
      <c r="F243" s="14">
        <v>242968</v>
      </c>
      <c r="G243" s="15">
        <f t="shared" si="4"/>
        <v>5.4743487007611336E-3</v>
      </c>
      <c r="H243" s="16">
        <f>C243*1000/F243</f>
        <v>71.79762355536532</v>
      </c>
      <c r="I243" s="16">
        <f>B243*1000/F243</f>
        <v>48.021768298706</v>
      </c>
      <c r="J243" s="5">
        <f t="shared" si="5"/>
        <v>-5.2493487007611332E-3</v>
      </c>
      <c r="K243" s="5">
        <f>LN(H244)-LN(H243)</f>
        <v>-1.0107504724023997E-3</v>
      </c>
      <c r="L243" s="5">
        <f>LN(I244)-LN(I243)</f>
        <v>-4.2415075644797184E-4</v>
      </c>
    </row>
    <row r="244" spans="1:12" x14ac:dyDescent="0.5">
      <c r="A244" s="11">
        <v>41091</v>
      </c>
      <c r="B244" s="12">
        <v>11691.414000000001</v>
      </c>
      <c r="C244" s="12">
        <v>17469.650000000001</v>
      </c>
      <c r="D244" s="12">
        <v>93.417000000000002</v>
      </c>
      <c r="E244" s="13">
        <v>0.1</v>
      </c>
      <c r="F244" s="14">
        <v>243564</v>
      </c>
      <c r="G244" s="15">
        <f t="shared" si="4"/>
        <v>4.9972875243406989E-3</v>
      </c>
      <c r="H244" s="16">
        <f>C244*1000/F244</f>
        <v>71.725090735905141</v>
      </c>
      <c r="I244" s="16">
        <f>B244*1000/F244</f>
        <v>48.001404148396311</v>
      </c>
      <c r="J244" s="5">
        <f t="shared" si="5"/>
        <v>-4.7472875243406987E-3</v>
      </c>
      <c r="K244" s="5">
        <f>LN(H245)-LN(H244)</f>
        <v>-1.3251294122049728E-3</v>
      </c>
      <c r="L244" s="5">
        <f>LN(I245)-LN(I244)</f>
        <v>1.4964454087627033E-3</v>
      </c>
    </row>
    <row r="245" spans="1:12" x14ac:dyDescent="0.5">
      <c r="A245" s="11">
        <v>41183</v>
      </c>
      <c r="B245" s="12">
        <v>11738.007</v>
      </c>
      <c r="C245" s="12">
        <v>17489.851999999999</v>
      </c>
      <c r="D245" s="12">
        <v>93.885000000000005</v>
      </c>
      <c r="E245" s="13">
        <v>0.09</v>
      </c>
      <c r="F245" s="14">
        <v>244169</v>
      </c>
      <c r="G245" s="15">
        <f t="shared" si="4"/>
        <v>3.9650743177928049E-3</v>
      </c>
      <c r="H245" s="16">
        <f>C245*1000/F245</f>
        <v>71.630108654251771</v>
      </c>
      <c r="I245" s="16">
        <f>B245*1000/F245</f>
        <v>48.073289402012541</v>
      </c>
      <c r="J245" s="5">
        <f t="shared" si="5"/>
        <v>-3.740074317792805E-3</v>
      </c>
      <c r="K245" s="5">
        <f>LN(H246)-LN(H245)</f>
        <v>7.1178600828130101E-3</v>
      </c>
      <c r="L245" s="5">
        <f>LN(I246)-LN(I245)</f>
        <v>3.7814252114851676E-3</v>
      </c>
    </row>
    <row r="246" spans="1:12" x14ac:dyDescent="0.5">
      <c r="A246" s="11">
        <v>41275</v>
      </c>
      <c r="B246" s="12">
        <v>11814.325999999999</v>
      </c>
      <c r="C246" s="12">
        <v>17662.400000000001</v>
      </c>
      <c r="D246" s="12">
        <v>94.257999999999996</v>
      </c>
      <c r="E246" s="13">
        <v>0.09</v>
      </c>
      <c r="F246" s="14">
        <v>244829</v>
      </c>
      <c r="G246" s="15">
        <f t="shared" si="4"/>
        <v>2.1513475410044336E-3</v>
      </c>
      <c r="H246" s="16">
        <f>C246*1000/F246</f>
        <v>72.141780589717726</v>
      </c>
      <c r="I246" s="16">
        <f>B246*1000/F246</f>
        <v>48.255419088424979</v>
      </c>
      <c r="J246" s="5">
        <f t="shared" si="5"/>
        <v>-1.9263475410044337E-3</v>
      </c>
      <c r="K246" s="5">
        <f>LN(H247)-LN(H246)</f>
        <v>4.9404927618112993E-4</v>
      </c>
      <c r="L246" s="5">
        <f>LN(I247)-LN(I246)</f>
        <v>6.7498688079314917E-4</v>
      </c>
    </row>
    <row r="247" spans="1:12" x14ac:dyDescent="0.5">
      <c r="A247" s="11">
        <v>41365</v>
      </c>
      <c r="B247" s="12">
        <v>11848.089</v>
      </c>
      <c r="C247" s="12">
        <v>17709.670999999998</v>
      </c>
      <c r="D247" s="12">
        <v>94.460999999999999</v>
      </c>
      <c r="E247" s="13">
        <v>0.05</v>
      </c>
      <c r="F247" s="14">
        <v>245363</v>
      </c>
      <c r="G247" s="15">
        <f t="shared" si="4"/>
        <v>4.8895205262002861E-3</v>
      </c>
      <c r="H247" s="16">
        <f>C247*1000/F247</f>
        <v>72.177430990002563</v>
      </c>
      <c r="I247" s="16">
        <f>B247*1000/F247</f>
        <v>48.288001858470921</v>
      </c>
      <c r="J247" s="5">
        <f t="shared" si="5"/>
        <v>-4.764520526200286E-3</v>
      </c>
      <c r="K247" s="5">
        <f>LN(H248)-LN(H247)</f>
        <v>6.0436564368568924E-3</v>
      </c>
      <c r="L247" s="5">
        <f>LN(I248)-LN(I247)</f>
        <v>1.6230680157480748E-3</v>
      </c>
    </row>
    <row r="248" spans="1:12" x14ac:dyDescent="0.5">
      <c r="A248" s="11">
        <v>41456</v>
      </c>
      <c r="B248" s="12">
        <v>11896.258</v>
      </c>
      <c r="C248" s="12">
        <v>17860.45</v>
      </c>
      <c r="D248" s="12">
        <v>94.924000000000007</v>
      </c>
      <c r="E248" s="13">
        <v>0.03</v>
      </c>
      <c r="F248" s="14">
        <v>245961</v>
      </c>
      <c r="G248" s="15">
        <f t="shared" si="4"/>
        <v>5.2745065807231484E-3</v>
      </c>
      <c r="H248" s="16">
        <f>C248*1000/F248</f>
        <v>72.614967413533037</v>
      </c>
      <c r="I248" s="16">
        <f>B248*1000/F248</f>
        <v>48.366440208000455</v>
      </c>
      <c r="J248" s="5">
        <f t="shared" si="5"/>
        <v>-5.199506580723148E-3</v>
      </c>
      <c r="K248" s="5">
        <f>LN(H249)-LN(H248)</f>
        <v>6.2310323451271188E-3</v>
      </c>
      <c r="L248" s="5">
        <f>LN(I249)-LN(I248)</f>
        <v>6.3197246811412811E-3</v>
      </c>
    </row>
    <row r="249" spans="1:12" x14ac:dyDescent="0.5">
      <c r="A249" s="11">
        <v>41548</v>
      </c>
      <c r="B249" s="12">
        <v>12001.027</v>
      </c>
      <c r="C249" s="12">
        <v>18016.147000000001</v>
      </c>
      <c r="D249" s="12">
        <v>95.426000000000002</v>
      </c>
      <c r="E249" s="13">
        <v>0.06</v>
      </c>
      <c r="F249" s="14">
        <v>246564</v>
      </c>
      <c r="G249" s="15">
        <f t="shared" si="4"/>
        <v>3.7863381601761503E-3</v>
      </c>
      <c r="H249" s="16">
        <f>C249*1000/F249</f>
        <v>73.068846222481795</v>
      </c>
      <c r="I249" s="16">
        <f>B249*1000/F249</f>
        <v>48.673070683473661</v>
      </c>
      <c r="J249" s="5">
        <f t="shared" si="5"/>
        <v>-3.6363381601761504E-3</v>
      </c>
      <c r="K249" s="5">
        <f>LN(H250)-LN(H249)</f>
        <v>-5.5717876434675517E-3</v>
      </c>
      <c r="L249" s="5">
        <f>LN(I250)-LN(I249)</f>
        <v>1.4763763898408833E-3</v>
      </c>
    </row>
    <row r="250" spans="1:12" x14ac:dyDescent="0.5">
      <c r="A250" s="11">
        <v>41640</v>
      </c>
      <c r="B250" s="12">
        <v>12044.203</v>
      </c>
      <c r="C250" s="12">
        <v>17953.973999999998</v>
      </c>
      <c r="D250" s="12">
        <v>95.787999999999997</v>
      </c>
      <c r="E250" s="13">
        <v>0.05</v>
      </c>
      <c r="F250" s="14">
        <v>247086</v>
      </c>
      <c r="G250" s="15">
        <f t="shared" si="4"/>
        <v>5.6423805988607967E-3</v>
      </c>
      <c r="H250" s="16">
        <f>C250*1000/F250</f>
        <v>72.662854228891959</v>
      </c>
      <c r="I250" s="16">
        <f>B250*1000/F250</f>
        <v>48.744983528002393</v>
      </c>
      <c r="J250" s="5">
        <f t="shared" si="5"/>
        <v>-5.5173805988607966E-3</v>
      </c>
      <c r="K250" s="5">
        <f>LN(H251)-LN(H250)</f>
        <v>1.0656639376121824E-2</v>
      </c>
      <c r="L250" s="5">
        <f>LN(I251)-LN(I250)</f>
        <v>7.3810543865073797E-3</v>
      </c>
    </row>
    <row r="251" spans="1:12" x14ac:dyDescent="0.5">
      <c r="A251" s="11">
        <v>41730</v>
      </c>
      <c r="B251" s="12">
        <v>12159.898999999999</v>
      </c>
      <c r="C251" s="12">
        <v>18185.911</v>
      </c>
      <c r="D251" s="12">
        <v>96.33</v>
      </c>
      <c r="E251" s="13">
        <v>0.03</v>
      </c>
      <c r="F251" s="14">
        <v>247625</v>
      </c>
      <c r="G251" s="15">
        <f t="shared" si="4"/>
        <v>4.1024423523845499E-3</v>
      </c>
      <c r="H251" s="16">
        <f>C251*1000/F251</f>
        <v>73.441336698637059</v>
      </c>
      <c r="I251" s="16">
        <f>B251*1000/F251</f>
        <v>49.106103987884907</v>
      </c>
      <c r="J251" s="5">
        <f t="shared" si="5"/>
        <v>-4.0274423523845495E-3</v>
      </c>
      <c r="K251" s="5">
        <f>LN(H252)-LN(H251)</f>
        <v>9.6283321195196336E-3</v>
      </c>
      <c r="L251" s="5">
        <f>LN(I252)-LN(I251)</f>
        <v>7.3830391630682612E-3</v>
      </c>
    </row>
    <row r="252" spans="1:12" x14ac:dyDescent="0.5">
      <c r="A252" s="11">
        <v>41821</v>
      </c>
      <c r="B252" s="12">
        <v>12280.085999999999</v>
      </c>
      <c r="C252" s="12">
        <v>18406.940999999999</v>
      </c>
      <c r="D252" s="12">
        <v>96.725999999999999</v>
      </c>
      <c r="E252" s="13">
        <v>0.03</v>
      </c>
      <c r="F252" s="14">
        <v>248233</v>
      </c>
      <c r="G252" s="15">
        <f t="shared" si="4"/>
        <v>9.9200206535332569E-4</v>
      </c>
      <c r="H252" s="16">
        <f>C252*1000/F252</f>
        <v>74.15186941301117</v>
      </c>
      <c r="I252" s="16">
        <f>B252*1000/F252</f>
        <v>49.469997945478646</v>
      </c>
      <c r="J252" s="5">
        <f t="shared" si="5"/>
        <v>-9.1700206535332571E-4</v>
      </c>
      <c r="K252" s="5">
        <f>LN(H253)-LN(H252)</f>
        <v>2.5902317267023633E-3</v>
      </c>
      <c r="L252" s="5">
        <f>LN(I253)-LN(I252)</f>
        <v>9.003209919573596E-3</v>
      </c>
    </row>
    <row r="253" spans="1:12" x14ac:dyDescent="0.5">
      <c r="A253" s="11">
        <v>41913</v>
      </c>
      <c r="B253" s="12">
        <v>12421.594999999999</v>
      </c>
      <c r="C253" s="12">
        <v>18500.030999999999</v>
      </c>
      <c r="D253" s="12">
        <v>96.822000000000003</v>
      </c>
      <c r="E253" s="13">
        <v>0.02</v>
      </c>
      <c r="F253" s="14">
        <v>248843</v>
      </c>
      <c r="G253" s="15">
        <f t="shared" si="4"/>
        <v>-5.4754612894303278E-4</v>
      </c>
      <c r="H253" s="16">
        <f>C253*1000/F253</f>
        <v>74.344188906258168</v>
      </c>
      <c r="I253" s="16">
        <f>B253*1000/F253</f>
        <v>49.917397716632578</v>
      </c>
      <c r="J253" s="5">
        <f t="shared" si="5"/>
        <v>5.9754612894303281E-4</v>
      </c>
      <c r="K253" s="5">
        <f>LN(H254)-LN(H253)</f>
        <v>4.7218839570906113E-3</v>
      </c>
      <c r="L253" s="5">
        <f>LN(I254)-LN(I253)</f>
        <v>3.4007368832140727E-3</v>
      </c>
    </row>
    <row r="254" spans="1:12" x14ac:dyDescent="0.5">
      <c r="A254" s="11">
        <v>42005</v>
      </c>
      <c r="B254" s="12">
        <v>12516.902</v>
      </c>
      <c r="C254" s="12">
        <v>18666.620999999999</v>
      </c>
      <c r="D254" s="12">
        <v>96.769000000000005</v>
      </c>
      <c r="E254" s="13">
        <v>0.03</v>
      </c>
      <c r="F254" s="14">
        <v>249901</v>
      </c>
      <c r="G254" s="15">
        <f t="shared" si="4"/>
        <v>5.7291984381926397E-3</v>
      </c>
      <c r="H254" s="16">
        <f>C254*1000/F254</f>
        <v>74.696063641201917</v>
      </c>
      <c r="I254" s="16">
        <f>B254*1000/F254</f>
        <v>50.087442627280403</v>
      </c>
      <c r="J254" s="5">
        <f t="shared" si="5"/>
        <v>-5.6541984381926393E-3</v>
      </c>
      <c r="K254" s="5">
        <f>LN(H255)-LN(H254)</f>
        <v>3.936566234643557E-3</v>
      </c>
      <c r="L254" s="5">
        <f>LN(I255)-LN(I254)</f>
        <v>4.6208148833968288E-3</v>
      </c>
    </row>
    <row r="255" spans="1:12" x14ac:dyDescent="0.5">
      <c r="A255" s="11">
        <v>42095</v>
      </c>
      <c r="B255" s="12">
        <v>12603.053</v>
      </c>
      <c r="C255" s="12">
        <v>18782.242999999999</v>
      </c>
      <c r="D255" s="12">
        <v>97.325000000000003</v>
      </c>
      <c r="E255" s="13">
        <v>0.02</v>
      </c>
      <c r="F255" s="14">
        <v>250461</v>
      </c>
      <c r="G255" s="15">
        <f t="shared" si="4"/>
        <v>2.6474044235031968E-3</v>
      </c>
      <c r="H255" s="16">
        <f>C255*1000/F255</f>
        <v>74.990689169172043</v>
      </c>
      <c r="I255" s="16">
        <f>B255*1000/F255</f>
        <v>50.319422984017471</v>
      </c>
      <c r="J255" s="5">
        <f t="shared" si="5"/>
        <v>-2.5974044235031967E-3</v>
      </c>
      <c r="K255" s="5">
        <f>LN(H256)-LN(H255)</f>
        <v>1.4503982186147013E-3</v>
      </c>
      <c r="L255" s="5">
        <f>LN(I256)-LN(I255)</f>
        <v>4.4721776368872312E-3</v>
      </c>
    </row>
    <row r="256" spans="1:12" x14ac:dyDescent="0.5">
      <c r="A256" s="11">
        <v>42186</v>
      </c>
      <c r="B256" s="12">
        <v>12691.79</v>
      </c>
      <c r="C256" s="12">
        <v>18857.418000000001</v>
      </c>
      <c r="D256" s="12">
        <v>97.582999999999998</v>
      </c>
      <c r="E256" s="13">
        <v>0.04</v>
      </c>
      <c r="F256" s="14">
        <v>251099</v>
      </c>
      <c r="G256" s="15">
        <f t="shared" si="4"/>
        <v>-2.0495583202162493E-5</v>
      </c>
      <c r="H256" s="16">
        <f>C256*1000/F256</f>
        <v>75.099534446572861</v>
      </c>
      <c r="I256" s="16">
        <f>B256*1000/F256</f>
        <v>50.544964336775536</v>
      </c>
      <c r="J256" s="5">
        <f t="shared" si="5"/>
        <v>1.204955832021625E-4</v>
      </c>
      <c r="K256" s="5">
        <f>LN(H257)-LN(H256)</f>
        <v>-7.1040580228221017E-4</v>
      </c>
      <c r="L256" s="5">
        <f>LN(I257)-LN(I256)</f>
        <v>1.5055284538778579E-3</v>
      </c>
    </row>
    <row r="257" spans="1:12" x14ac:dyDescent="0.5">
      <c r="A257" s="11">
        <v>42278</v>
      </c>
      <c r="B257" s="12">
        <v>12743.411</v>
      </c>
      <c r="C257" s="12">
        <v>18892.205999999998</v>
      </c>
      <c r="D257" s="12">
        <v>97.581000000000003</v>
      </c>
      <c r="E257" s="13">
        <v>0.12</v>
      </c>
      <c r="F257" s="14">
        <v>251741</v>
      </c>
      <c r="G257" s="15">
        <f t="shared" si="4"/>
        <v>-8.7145081561956772E-4</v>
      </c>
      <c r="H257" s="16">
        <f>C257*1000/F257</f>
        <v>75.046202247548081</v>
      </c>
      <c r="I257" s="16">
        <f>B257*1000/F257</f>
        <v>50.621118530553225</v>
      </c>
      <c r="J257" s="5">
        <f t="shared" si="5"/>
        <v>1.1714508156195676E-3</v>
      </c>
      <c r="K257" s="5">
        <f>LN(H258)-LN(H257)</f>
        <v>2.447258374523642E-3</v>
      </c>
      <c r="L257" s="5">
        <f>LN(I258)-LN(I257)</f>
        <v>4.1899851848139491E-3</v>
      </c>
    </row>
    <row r="258" spans="1:12" x14ac:dyDescent="0.5">
      <c r="A258" s="11">
        <v>42370</v>
      </c>
      <c r="B258" s="12">
        <v>12839.618</v>
      </c>
      <c r="C258" s="12">
        <v>19001.689999999999</v>
      </c>
      <c r="D258" s="12">
        <v>97.495999999999995</v>
      </c>
      <c r="E258" s="13">
        <v>0.28999999999999998</v>
      </c>
      <c r="F258" s="14">
        <v>252581</v>
      </c>
      <c r="G258" s="15">
        <f t="shared" si="4"/>
        <v>6.7772613804999438E-3</v>
      </c>
      <c r="H258" s="16">
        <f>C258*1000/F258</f>
        <v>75.230084606522269</v>
      </c>
      <c r="I258" s="16">
        <f>B258*1000/F258</f>
        <v>50.833665240061606</v>
      </c>
      <c r="J258" s="5">
        <f t="shared" si="5"/>
        <v>-6.0522613804999438E-3</v>
      </c>
      <c r="K258" s="5">
        <f>LN(H259)-LN(H258)</f>
        <v>8.3738680583600456E-4</v>
      </c>
      <c r="L258" s="5">
        <f>LN(I259)-LN(I258)</f>
        <v>2.5793017062496482E-3</v>
      </c>
    </row>
    <row r="259" spans="1:12" x14ac:dyDescent="0.5">
      <c r="A259" s="11">
        <v>42461</v>
      </c>
      <c r="B259" s="12">
        <v>12903.306</v>
      </c>
      <c r="C259" s="12">
        <v>19062.708999999999</v>
      </c>
      <c r="D259" s="12">
        <v>98.159000000000006</v>
      </c>
      <c r="E259" s="13">
        <v>0.26</v>
      </c>
      <c r="F259" s="14">
        <v>253180</v>
      </c>
      <c r="G259" s="15">
        <f t="shared" ref="G259:G295" si="6">LN(D260)-LN(D259)</f>
        <v>2.5538120091930239E-3</v>
      </c>
      <c r="H259" s="16">
        <f>C259*1000/F259</f>
        <v>75.293107670432107</v>
      </c>
      <c r="I259" s="16">
        <f>B259*1000/F259</f>
        <v>50.96494983805988</v>
      </c>
      <c r="J259" s="5">
        <f t="shared" ref="J259:J295" si="7">(E259/400)-G259</f>
        <v>-1.9038120091930239E-3</v>
      </c>
      <c r="K259" s="5">
        <f>LN(H260)-LN(H259)</f>
        <v>4.4063195290977575E-3</v>
      </c>
      <c r="L259" s="5">
        <f>LN(I260)-LN(I259)</f>
        <v>4.2695793521771996E-3</v>
      </c>
    </row>
    <row r="260" spans="1:12" x14ac:dyDescent="0.5">
      <c r="A260" s="11">
        <v>42552</v>
      </c>
      <c r="B260" s="12">
        <v>12993.064</v>
      </c>
      <c r="C260" s="12">
        <v>19197.937999999998</v>
      </c>
      <c r="D260" s="12">
        <v>98.41</v>
      </c>
      <c r="E260" s="13">
        <v>0.3</v>
      </c>
      <c r="F260" s="14">
        <v>253855</v>
      </c>
      <c r="G260" s="15">
        <f t="shared" si="6"/>
        <v>4.8252465692044666E-3</v>
      </c>
      <c r="H260" s="16">
        <f>C260*1000/F260</f>
        <v>75.625605168304745</v>
      </c>
      <c r="I260" s="16">
        <f>B260*1000/F260</f>
        <v>51.183013925272299</v>
      </c>
      <c r="J260" s="5">
        <f t="shared" si="7"/>
        <v>-4.0752465692044668E-3</v>
      </c>
      <c r="K260" s="5">
        <f>LN(H261)-LN(H260)</f>
        <v>2.8565008045049467E-3</v>
      </c>
      <c r="L260" s="5">
        <f>LN(I261)-LN(I260)</f>
        <v>2.4719334883478439E-3</v>
      </c>
    </row>
    <row r="261" spans="1:12" x14ac:dyDescent="0.5">
      <c r="A261" s="11">
        <v>42644</v>
      </c>
      <c r="B261" s="12">
        <v>13060.061</v>
      </c>
      <c r="C261" s="12">
        <v>19304.351999999999</v>
      </c>
      <c r="D261" s="12">
        <v>98.885999999999996</v>
      </c>
      <c r="E261" s="13">
        <v>0.43</v>
      </c>
      <c r="F261" s="14">
        <v>254534</v>
      </c>
      <c r="G261" s="15">
        <f t="shared" si="6"/>
        <v>5.0838334998157819E-3</v>
      </c>
      <c r="H261" s="16">
        <f>C261*1000/F261</f>
        <v>75.841938601522784</v>
      </c>
      <c r="I261" s="16">
        <f>B261*1000/F261</f>
        <v>51.309691436114626</v>
      </c>
      <c r="J261" s="5">
        <f t="shared" si="7"/>
        <v>-4.0088334998157824E-3</v>
      </c>
      <c r="K261" s="5">
        <f>LN(H262)-LN(H261)</f>
        <v>5.9852742344048693E-3</v>
      </c>
      <c r="L261" s="5">
        <f>LN(I262)-LN(I261)</f>
        <v>8.7874117863222523E-3</v>
      </c>
    </row>
    <row r="262" spans="1:12" x14ac:dyDescent="0.5">
      <c r="A262" s="11">
        <v>42736</v>
      </c>
      <c r="B262" s="12">
        <v>13160.475</v>
      </c>
      <c r="C262" s="12">
        <v>19398.343000000001</v>
      </c>
      <c r="D262" s="12">
        <v>99.39</v>
      </c>
      <c r="E262" s="13">
        <v>0.59</v>
      </c>
      <c r="F262" s="14">
        <v>254247</v>
      </c>
      <c r="G262" s="15">
        <f t="shared" si="6"/>
        <v>2.6125416788893574E-3</v>
      </c>
      <c r="H262" s="16">
        <f>C262*1000/F262</f>
        <v>76.297234578972422</v>
      </c>
      <c r="I262" s="16">
        <f>B262*1000/F262</f>
        <v>51.762557670296992</v>
      </c>
      <c r="J262" s="5">
        <f t="shared" si="7"/>
        <v>-1.1375416788893574E-3</v>
      </c>
      <c r="K262" s="5">
        <f>LN(H263)-LN(H262)</f>
        <v>3.5242439980578411E-3</v>
      </c>
      <c r="L262" s="5">
        <f>LN(I263)-LN(I262)</f>
        <v>2.8882711550899387E-3</v>
      </c>
    </row>
    <row r="263" spans="1:12" x14ac:dyDescent="0.5">
      <c r="A263" s="11">
        <v>42826</v>
      </c>
      <c r="B263" s="12">
        <v>13225.743</v>
      </c>
      <c r="C263" s="12">
        <v>19506.949000000001</v>
      </c>
      <c r="D263" s="12">
        <v>99.65</v>
      </c>
      <c r="E263" s="13">
        <v>0.89</v>
      </c>
      <c r="F263" s="14">
        <v>254771</v>
      </c>
      <c r="G263" s="15">
        <f t="shared" si="6"/>
        <v>5.1248285447442754E-3</v>
      </c>
      <c r="H263" s="16">
        <f>C263*1000/F263</f>
        <v>76.566599024221759</v>
      </c>
      <c r="I263" s="16">
        <f>B263*1000/F263</f>
        <v>51.912278085025378</v>
      </c>
      <c r="J263" s="5">
        <f t="shared" si="7"/>
        <v>-2.8998285447442754E-3</v>
      </c>
      <c r="K263" s="5">
        <f>LN(H264)-LN(H263)</f>
        <v>5.556851648660377E-3</v>
      </c>
      <c r="L263" s="5">
        <f>LN(I264)-LN(I263)</f>
        <v>4.4572870534409503E-3</v>
      </c>
    </row>
    <row r="264" spans="1:12" x14ac:dyDescent="0.5">
      <c r="A264" s="11">
        <v>42917</v>
      </c>
      <c r="B264" s="12">
        <v>13315.382</v>
      </c>
      <c r="C264" s="12">
        <v>19660.766</v>
      </c>
      <c r="D264" s="12">
        <v>100.16200000000001</v>
      </c>
      <c r="E264" s="13">
        <v>1.04</v>
      </c>
      <c r="F264" s="14">
        <v>255357</v>
      </c>
      <c r="G264" s="15">
        <f t="shared" si="6"/>
        <v>6.1312026446032064E-3</v>
      </c>
      <c r="H264" s="16">
        <f>C264*1000/F264</f>
        <v>76.993252583637812</v>
      </c>
      <c r="I264" s="16">
        <f>B264*1000/F264</f>
        <v>52.144182458283893</v>
      </c>
      <c r="J264" s="5">
        <f t="shared" si="7"/>
        <v>-3.5312026446032065E-3</v>
      </c>
      <c r="K264" s="5">
        <f>LN(H265)-LN(H264)</f>
        <v>8.9230446739678726E-3</v>
      </c>
      <c r="L264" s="5">
        <f>LN(I265)-LN(I264)</f>
        <v>8.5850439464651984E-3</v>
      </c>
    </row>
    <row r="265" spans="1:12" x14ac:dyDescent="0.5">
      <c r="A265" s="11">
        <v>43009</v>
      </c>
      <c r="B265" s="12">
        <v>13460.902</v>
      </c>
      <c r="C265" s="12">
        <v>19882.351999999999</v>
      </c>
      <c r="D265" s="12">
        <v>100.77800000000001</v>
      </c>
      <c r="E265" s="13">
        <v>1.21</v>
      </c>
      <c r="F265" s="14">
        <v>255941</v>
      </c>
      <c r="G265" s="15">
        <f t="shared" si="6"/>
        <v>6.3403724819437457E-3</v>
      </c>
      <c r="H265" s="16">
        <f>C265*1000/F265</f>
        <v>77.683341082515113</v>
      </c>
      <c r="I265" s="16">
        <f>B265*1000/F265</f>
        <v>52.593769657850835</v>
      </c>
      <c r="J265" s="5">
        <f t="shared" si="7"/>
        <v>-3.3153724819437458E-3</v>
      </c>
      <c r="K265" s="5">
        <f>LN(H266)-LN(H265)</f>
        <v>4.2172250590652993E-3</v>
      </c>
      <c r="L265" s="5">
        <f>LN(I266)-LN(I265)</f>
        <v>3.3309852283589514E-3</v>
      </c>
    </row>
    <row r="266" spans="1:12" x14ac:dyDescent="0.5">
      <c r="A266" s="11">
        <v>43101</v>
      </c>
      <c r="B266" s="12">
        <v>13558.373</v>
      </c>
      <c r="C266" s="12">
        <v>20044.077000000001</v>
      </c>
      <c r="D266" s="12">
        <v>101.419</v>
      </c>
      <c r="E266" s="13">
        <v>1.56</v>
      </c>
      <c r="F266" s="14">
        <v>256937</v>
      </c>
      <c r="G266" s="15">
        <f t="shared" si="6"/>
        <v>7.044808187955276E-3</v>
      </c>
      <c r="H266" s="16">
        <f>C266*1000/F266</f>
        <v>78.011640985922625</v>
      </c>
      <c r="I266" s="16">
        <f>B266*1000/F266</f>
        <v>52.769250828023992</v>
      </c>
      <c r="J266" s="5">
        <f t="shared" si="7"/>
        <v>-3.1448081879552757E-3</v>
      </c>
      <c r="K266" s="5">
        <f>LN(H267)-LN(H266)</f>
        <v>3.2762992446375705E-3</v>
      </c>
      <c r="L266" s="5">
        <f>LN(I267)-LN(I266)</f>
        <v>3.3219865116969061E-3</v>
      </c>
    </row>
    <row r="267" spans="1:12" x14ac:dyDescent="0.5">
      <c r="A267" s="11">
        <v>43191</v>
      </c>
      <c r="B267" s="12">
        <v>13630.967000000001</v>
      </c>
      <c r="C267" s="12">
        <v>20150.475999999999</v>
      </c>
      <c r="D267" s="12">
        <v>102.136</v>
      </c>
      <c r="E267" s="13">
        <v>1.84</v>
      </c>
      <c r="F267" s="14">
        <v>257456</v>
      </c>
      <c r="G267" s="15">
        <f t="shared" si="6"/>
        <v>4.3084775484629745E-3</v>
      </c>
      <c r="H267" s="16">
        <f>C267*1000/F267</f>
        <v>78.267649617798767</v>
      </c>
      <c r="I267" s="16">
        <f>B267*1000/F267</f>
        <v>52.94484106022</v>
      </c>
      <c r="J267" s="5">
        <f t="shared" si="7"/>
        <v>2.9152245153702544E-4</v>
      </c>
      <c r="K267" s="5">
        <f>LN(H268)-LN(H267)</f>
        <v>3.8510703817244973E-3</v>
      </c>
      <c r="L267" s="5">
        <f>LN(I268)-LN(I267)</f>
        <v>2.2317213209586129E-3</v>
      </c>
    </row>
    <row r="268" spans="1:12" x14ac:dyDescent="0.5">
      <c r="A268" s="11">
        <v>43282</v>
      </c>
      <c r="B268" s="12">
        <v>13693.79</v>
      </c>
      <c r="C268" s="12">
        <v>20276.153999999999</v>
      </c>
      <c r="D268" s="12">
        <v>102.577</v>
      </c>
      <c r="E268" s="13">
        <v>2.04</v>
      </c>
      <c r="F268" s="14">
        <v>258066</v>
      </c>
      <c r="G268" s="15">
        <f t="shared" si="6"/>
        <v>4.2997011707761601E-3</v>
      </c>
      <c r="H268" s="16">
        <f>C268*1000/F268</f>
        <v>78.56964497454139</v>
      </c>
      <c r="I268" s="16">
        <f>B268*1000/F268</f>
        <v>53.063131136995963</v>
      </c>
      <c r="J268" s="5">
        <f t="shared" si="7"/>
        <v>8.0029882922384027E-4</v>
      </c>
      <c r="K268" s="5">
        <f>LN(H269)-LN(H268)</f>
        <v>-1.0498794250226595E-3</v>
      </c>
      <c r="L268" s="5">
        <f>LN(I269)-LN(I268)</f>
        <v>6.5400032148676956E-4</v>
      </c>
    </row>
    <row r="269" spans="1:12" x14ac:dyDescent="0.5">
      <c r="A269" s="11">
        <v>43374</v>
      </c>
      <c r="B269" s="12">
        <v>13736.572</v>
      </c>
      <c r="C269" s="12">
        <v>20304.874</v>
      </c>
      <c r="D269" s="12">
        <v>103.01900000000001</v>
      </c>
      <c r="E269" s="13">
        <v>2.3199999999999998</v>
      </c>
      <c r="F269" s="14">
        <v>258703</v>
      </c>
      <c r="G269" s="15">
        <f t="shared" si="6"/>
        <v>2.9949573385756878E-3</v>
      </c>
      <c r="H269" s="16">
        <f>C269*1000/F269</f>
        <v>78.487199607271663</v>
      </c>
      <c r="I269" s="16">
        <f>B269*1000/F269</f>
        <v>53.09784579227918</v>
      </c>
      <c r="J269" s="5">
        <f t="shared" si="7"/>
        <v>2.8050426614243118E-3</v>
      </c>
      <c r="K269" s="5">
        <f>LN(H270)-LN(H269)</f>
        <v>7.4382571328790448E-3</v>
      </c>
      <c r="L269" s="5">
        <f>LN(I270)-LN(I269)</f>
        <v>2.7972506418065812E-3</v>
      </c>
    </row>
    <row r="270" spans="1:12" x14ac:dyDescent="0.5">
      <c r="A270" s="11">
        <v>43466</v>
      </c>
      <c r="B270" s="12">
        <v>13758.331</v>
      </c>
      <c r="C270" s="12">
        <v>20431.641</v>
      </c>
      <c r="D270" s="12">
        <v>103.328</v>
      </c>
      <c r="E270" s="13">
        <v>2.39</v>
      </c>
      <c r="F270" s="14">
        <v>258389</v>
      </c>
      <c r="G270" s="15">
        <f t="shared" si="6"/>
        <v>5.1547003466003716E-3</v>
      </c>
      <c r="H270" s="16">
        <f>C270*1000/F270</f>
        <v>79.073184229978835</v>
      </c>
      <c r="I270" s="16">
        <f>B270*1000/F270</f>
        <v>53.246581704329522</v>
      </c>
      <c r="J270" s="5">
        <f t="shared" si="7"/>
        <v>8.202996533996287E-4</v>
      </c>
      <c r="K270" s="5">
        <f>LN(H271)-LN(H270)</f>
        <v>6.4801520128057177E-3</v>
      </c>
      <c r="L270" s="5">
        <f>LN(I271)-LN(I270)</f>
        <v>6.6583116885108318E-3</v>
      </c>
    </row>
    <row r="271" spans="1:12" x14ac:dyDescent="0.5">
      <c r="A271" s="11">
        <v>43556</v>
      </c>
      <c r="B271" s="12">
        <v>13875.705</v>
      </c>
      <c r="C271" s="12">
        <v>20602.275000000001</v>
      </c>
      <c r="D271" s="12">
        <v>103.86199999999999</v>
      </c>
      <c r="E271" s="13">
        <v>2.2999999999999998</v>
      </c>
      <c r="F271" s="14">
        <v>258864</v>
      </c>
      <c r="G271" s="15">
        <f t="shared" si="6"/>
        <v>3.1722560175548864E-3</v>
      </c>
      <c r="H271" s="16">
        <f>C271*1000/F271</f>
        <v>79.587254311144079</v>
      </c>
      <c r="I271" s="16">
        <f>B271*1000/F271</f>
        <v>53.602296959020954</v>
      </c>
      <c r="J271" s="5">
        <f t="shared" si="7"/>
        <v>2.5777439824451135E-3</v>
      </c>
      <c r="K271" s="5">
        <f>LN(H272)-LN(H271)</f>
        <v>9.4403039662624977E-3</v>
      </c>
      <c r="L271" s="5">
        <f>LN(I272)-LN(I271)</f>
        <v>9.0962507299390261E-3</v>
      </c>
    </row>
    <row r="272" spans="1:12" x14ac:dyDescent="0.5">
      <c r="A272" s="11">
        <v>43647</v>
      </c>
      <c r="B272" s="12">
        <v>14033.222</v>
      </c>
      <c r="C272" s="12">
        <v>20843.322</v>
      </c>
      <c r="D272" s="12">
        <v>104.19199999999999</v>
      </c>
      <c r="E272" s="13">
        <v>1.98</v>
      </c>
      <c r="F272" s="14">
        <v>259432</v>
      </c>
      <c r="G272" s="15">
        <f t="shared" si="6"/>
        <v>3.1048187925453163E-3</v>
      </c>
      <c r="H272" s="16">
        <f>C272*1000/F272</f>
        <v>80.342139751457026</v>
      </c>
      <c r="I272" s="16">
        <f>B272*1000/F272</f>
        <v>54.092101205710939</v>
      </c>
      <c r="J272" s="5">
        <f t="shared" si="7"/>
        <v>1.8451812074546832E-3</v>
      </c>
      <c r="K272" s="5">
        <f>LN(H273)-LN(H272)</f>
        <v>4.5509401865979626E-3</v>
      </c>
      <c r="L272" s="5">
        <f>LN(I273)-LN(I272)</f>
        <v>4.2934607959255189E-3</v>
      </c>
    </row>
    <row r="273" spans="1:12" x14ac:dyDescent="0.5">
      <c r="A273" s="11">
        <v>43739</v>
      </c>
      <c r="B273" s="12">
        <v>14125.273999999999</v>
      </c>
      <c r="C273" s="12">
        <v>20985.448</v>
      </c>
      <c r="D273" s="12">
        <v>104.51600000000001</v>
      </c>
      <c r="E273" s="13">
        <v>1.58</v>
      </c>
      <c r="F273" s="14">
        <v>260015</v>
      </c>
      <c r="G273" s="15">
        <f t="shared" si="6"/>
        <v>4.9248958992436087E-3</v>
      </c>
      <c r="H273" s="16">
        <f>C273*1000/F273</f>
        <v>80.708605272772729</v>
      </c>
      <c r="I273" s="16">
        <f>B273*1000/F273</f>
        <v>54.324842797530913</v>
      </c>
      <c r="J273" s="5">
        <f t="shared" si="7"/>
        <v>-9.7489589924360832E-4</v>
      </c>
      <c r="K273" s="5">
        <f>LN(H274)-LN(H273)</f>
        <v>-1.1764986963258117E-2</v>
      </c>
      <c r="L273" s="5">
        <f>LN(I274)-LN(I273)</f>
        <v>-1.5523435148393716E-2</v>
      </c>
    </row>
    <row r="274" spans="1:12" x14ac:dyDescent="0.5">
      <c r="A274" s="11">
        <v>43831</v>
      </c>
      <c r="B274" s="12">
        <v>13887.048000000001</v>
      </c>
      <c r="C274" s="12">
        <v>20709.212</v>
      </c>
      <c r="D274" s="12">
        <v>105.032</v>
      </c>
      <c r="E274" s="13">
        <v>1.1100000000000001</v>
      </c>
      <c r="F274" s="14">
        <v>259629</v>
      </c>
      <c r="G274" s="15">
        <f t="shared" si="6"/>
        <v>-3.9876797449531765E-3</v>
      </c>
      <c r="H274" s="16">
        <f>C274*1000/F274</f>
        <v>79.764633380708631</v>
      </c>
      <c r="I274" s="16">
        <f>B274*1000/F274</f>
        <v>53.488046404677441</v>
      </c>
      <c r="J274" s="5">
        <f t="shared" si="7"/>
        <v>6.7626797449531761E-3</v>
      </c>
      <c r="K274" s="5">
        <f>LN(H275)-LN(H274)</f>
        <v>-8.365959192323924E-2</v>
      </c>
      <c r="L274" s="5">
        <f>LN(I275)-LN(I274)</f>
        <v>-9.2127652516897029E-2</v>
      </c>
    </row>
    <row r="275" spans="1:12" x14ac:dyDescent="0.5">
      <c r="A275" s="11">
        <v>43922</v>
      </c>
      <c r="B275" s="12">
        <v>12685.319</v>
      </c>
      <c r="C275" s="12">
        <v>19077.991999999998</v>
      </c>
      <c r="D275" s="12">
        <v>104.614</v>
      </c>
      <c r="E275" s="13">
        <v>0.14000000000000001</v>
      </c>
      <c r="F275" s="14">
        <v>260049</v>
      </c>
      <c r="G275" s="15">
        <f t="shared" si="6"/>
        <v>9.1157987112753247E-3</v>
      </c>
      <c r="H275" s="16">
        <f>C275*1000/F275</f>
        <v>73.36306619137163</v>
      </c>
      <c r="I275" s="16">
        <f>B275*1000/F275</f>
        <v>48.780495214363448</v>
      </c>
      <c r="J275" s="5">
        <f t="shared" si="7"/>
        <v>-8.7657987112753251E-3</v>
      </c>
      <c r="K275" s="5">
        <f>LN(H276)-LN(H275)</f>
        <v>7.28020859965266E-2</v>
      </c>
      <c r="L275" s="5">
        <f>LN(I276)-LN(I275)</f>
        <v>8.326053677033407E-2</v>
      </c>
    </row>
    <row r="276" spans="1:12" x14ac:dyDescent="0.5">
      <c r="A276" s="11">
        <v>44013</v>
      </c>
      <c r="B276" s="12">
        <v>13813.706</v>
      </c>
      <c r="C276" s="12">
        <v>20558.879000000001</v>
      </c>
      <c r="D276" s="12">
        <v>105.572</v>
      </c>
      <c r="E276" s="13">
        <v>0.11</v>
      </c>
      <c r="F276" s="14">
        <v>260558</v>
      </c>
      <c r="G276" s="15">
        <f t="shared" si="6"/>
        <v>6.2133701937909791E-3</v>
      </c>
      <c r="H276" s="16">
        <f>C276*1000/F276</f>
        <v>78.903272975690626</v>
      </c>
      <c r="I276" s="16">
        <f>B276*1000/F276</f>
        <v>53.015858273397861</v>
      </c>
      <c r="J276" s="5">
        <f t="shared" si="7"/>
        <v>-5.938370193790979E-3</v>
      </c>
      <c r="K276" s="5">
        <f>LN(H277)-LN(H276)</f>
        <v>9.2700010532915655E-3</v>
      </c>
      <c r="L276" s="5">
        <f>LN(I277)-LN(I276)</f>
        <v>1.1492219996620534E-2</v>
      </c>
    </row>
    <row r="277" spans="1:12" x14ac:dyDescent="0.5">
      <c r="A277" s="11">
        <v>44105</v>
      </c>
      <c r="B277" s="12">
        <v>14001.366</v>
      </c>
      <c r="C277" s="12">
        <v>20791.917000000001</v>
      </c>
      <c r="D277" s="12">
        <v>106.23</v>
      </c>
      <c r="E277" s="13">
        <v>0.09</v>
      </c>
      <c r="F277" s="14">
        <v>261080</v>
      </c>
      <c r="G277" s="15">
        <f t="shared" si="6"/>
        <v>1.2656087888566425E-2</v>
      </c>
      <c r="H277" s="16">
        <f>C277*1000/F277</f>
        <v>79.638107093611154</v>
      </c>
      <c r="I277" s="16">
        <f>B277*1000/F277</f>
        <v>53.628642561666922</v>
      </c>
      <c r="J277" s="5">
        <f t="shared" si="7"/>
        <v>-1.2431087888566426E-2</v>
      </c>
      <c r="K277" s="5">
        <f>LN(H278)-LN(H277)</f>
        <v>1.4459343121908219E-2</v>
      </c>
      <c r="L277" s="5">
        <f>LN(I278)-LN(I277)</f>
        <v>2.3073215667889002E-2</v>
      </c>
    </row>
    <row r="278" spans="1:12" x14ac:dyDescent="0.5">
      <c r="A278" s="11">
        <v>44197</v>
      </c>
      <c r="B278" s="12">
        <v>14319.617</v>
      </c>
      <c r="C278" s="12">
        <v>21082.133999999998</v>
      </c>
      <c r="D278" s="12">
        <v>107.583</v>
      </c>
      <c r="E278" s="13">
        <v>0.05</v>
      </c>
      <c r="F278" s="14">
        <v>260924</v>
      </c>
      <c r="G278" s="15">
        <f t="shared" si="6"/>
        <v>1.5449415158900415E-2</v>
      </c>
      <c r="H278" s="16">
        <f>C278*1000/F278</f>
        <v>80.797987153347336</v>
      </c>
      <c r="I278" s="16">
        <f>B278*1000/F278</f>
        <v>54.880413453725993</v>
      </c>
      <c r="J278" s="5">
        <f t="shared" si="7"/>
        <v>-1.5324415158900415E-2</v>
      </c>
      <c r="K278" s="5">
        <f>LN(H279)-LN(H278)</f>
        <v>1.5753411210575941E-2</v>
      </c>
      <c r="L278" s="5">
        <f>LN(I279)-LN(I278)</f>
        <v>3.3225846840904794E-2</v>
      </c>
    </row>
    <row r="279" spans="1:12" x14ac:dyDescent="0.5">
      <c r="A279" s="11">
        <v>44287</v>
      </c>
      <c r="B279" s="12">
        <v>14820.013999999999</v>
      </c>
      <c r="C279" s="12">
        <v>21440.929</v>
      </c>
      <c r="D279" s="12">
        <v>109.258</v>
      </c>
      <c r="E279" s="13">
        <v>0.03</v>
      </c>
      <c r="F279" s="14">
        <v>261217</v>
      </c>
      <c r="G279" s="15">
        <f t="shared" si="6"/>
        <v>1.5259428862442803E-2</v>
      </c>
      <c r="H279" s="16">
        <f>C279*1000/F279</f>
        <v>82.080909741709007</v>
      </c>
      <c r="I279" s="16">
        <f>B279*1000/F279</f>
        <v>56.734492778035118</v>
      </c>
      <c r="J279" s="5">
        <f t="shared" si="7"/>
        <v>-1.5184428862442803E-2</v>
      </c>
      <c r="K279" s="5">
        <f>LN(H280)-LN(H279)</f>
        <v>6.694201264212829E-3</v>
      </c>
      <c r="L279" s="5">
        <f>LN(I280)-LN(I279)</f>
        <v>6.7582489271638124E-3</v>
      </c>
    </row>
    <row r="280" spans="1:12" x14ac:dyDescent="0.5">
      <c r="A280" s="11">
        <v>44378</v>
      </c>
      <c r="B280" s="12">
        <v>14943.244000000001</v>
      </c>
      <c r="C280" s="12">
        <v>21617.828000000001</v>
      </c>
      <c r="D280" s="12">
        <v>110.938</v>
      </c>
      <c r="E280" s="13">
        <v>0.05</v>
      </c>
      <c r="F280" s="14">
        <v>261615</v>
      </c>
      <c r="G280" s="15">
        <f t="shared" si="6"/>
        <v>1.70614322473428E-2</v>
      </c>
      <c r="H280" s="16">
        <f>C280*1000/F280</f>
        <v>82.632219100586738</v>
      </c>
      <c r="I280" s="16">
        <f>B280*1000/F280</f>
        <v>57.119217170269287</v>
      </c>
      <c r="J280" s="5">
        <f t="shared" si="7"/>
        <v>-1.69364322473428E-2</v>
      </c>
      <c r="K280" s="5">
        <f>LN(H281)-LN(H280)</f>
        <v>1.5449877859228245E-2</v>
      </c>
      <c r="L280" s="5">
        <f>LN(I281)-LN(I280)</f>
        <v>8.0028622961831886E-3</v>
      </c>
    </row>
    <row r="281" spans="1:12" x14ac:dyDescent="0.5">
      <c r="A281" s="11">
        <v>44470</v>
      </c>
      <c r="B281" s="12">
        <v>15086.861999999999</v>
      </c>
      <c r="C281" s="12">
        <v>21988.737000000001</v>
      </c>
      <c r="D281" s="12">
        <v>112.84699999999999</v>
      </c>
      <c r="E281" s="13">
        <v>0.05</v>
      </c>
      <c r="F281" s="14">
        <v>262024</v>
      </c>
      <c r="G281" s="15">
        <f t="shared" si="6"/>
        <v>1.9994261799212154E-2</v>
      </c>
      <c r="H281" s="16">
        <f>C281*1000/F281</f>
        <v>83.918789881842883</v>
      </c>
      <c r="I281" s="16">
        <f>B281*1000/F281</f>
        <v>57.578168412053856</v>
      </c>
      <c r="J281" s="5">
        <f t="shared" si="7"/>
        <v>-1.9869261799212154E-2</v>
      </c>
      <c r="K281" s="5">
        <f>LN(H282)-LN(H281)</f>
        <v>-7.4965508104263279E-3</v>
      </c>
      <c r="L281" s="5">
        <f>LN(I282)-LN(I281)</f>
        <v>-4.0185781385648767E-3</v>
      </c>
    </row>
    <row r="282" spans="1:12" x14ac:dyDescent="0.5">
      <c r="A282" s="11">
        <v>44562</v>
      </c>
      <c r="B282" s="12">
        <v>15100.85</v>
      </c>
      <c r="C282" s="12">
        <v>21932.71</v>
      </c>
      <c r="D282" s="12">
        <v>115.126</v>
      </c>
      <c r="E282" s="13">
        <v>0.31</v>
      </c>
      <c r="F282" s="14">
        <v>263323</v>
      </c>
      <c r="G282" s="15">
        <f t="shared" si="6"/>
        <v>2.2349698173977472E-2</v>
      </c>
      <c r="H282" s="16">
        <f>C282*1000/F282</f>
        <v>83.292040573744032</v>
      </c>
      <c r="I282" s="16">
        <f>B282*1000/F282</f>
        <v>57.347250335139734</v>
      </c>
      <c r="J282" s="5">
        <f t="shared" si="7"/>
        <v>-2.1574698173977471E-2</v>
      </c>
      <c r="K282" s="5">
        <f>LN(H283)-LN(H282)</f>
        <v>1.6769838357610922E-4</v>
      </c>
      <c r="L282" s="5">
        <f>LN(I283)-LN(I282)</f>
        <v>6.7489983404014353E-3</v>
      </c>
    </row>
    <row r="283" spans="1:12" x14ac:dyDescent="0.5">
      <c r="A283" s="11">
        <v>44652</v>
      </c>
      <c r="B283" s="12">
        <v>15224.357</v>
      </c>
      <c r="C283" s="12">
        <v>21967.044999999998</v>
      </c>
      <c r="D283" s="12">
        <v>117.72799999999999</v>
      </c>
      <c r="E283" s="13">
        <v>1.08</v>
      </c>
      <c r="F283" s="14">
        <v>263691</v>
      </c>
      <c r="G283" s="15">
        <f t="shared" si="6"/>
        <v>1.1007084465518346E-2</v>
      </c>
      <c r="H283" s="16">
        <f>C283*1000/F283</f>
        <v>83.306009685578957</v>
      </c>
      <c r="I283" s="16">
        <f>B283*1000/F283</f>
        <v>57.73559582996765</v>
      </c>
      <c r="J283" s="5">
        <f t="shared" si="7"/>
        <v>-8.3070844655183454E-3</v>
      </c>
      <c r="K283" s="5">
        <f>LN(H284)-LN(H283)</f>
        <v>5.3251963365674726E-3</v>
      </c>
      <c r="L283" s="5">
        <f>LN(I284)-LN(I283)</f>
        <v>2.8156649522372845E-3</v>
      </c>
    </row>
    <row r="284" spans="1:12" x14ac:dyDescent="0.5">
      <c r="A284" s="11">
        <v>44743</v>
      </c>
      <c r="B284" s="12">
        <v>15295.828</v>
      </c>
      <c r="C284" s="12">
        <v>22125.625</v>
      </c>
      <c r="D284" s="12">
        <v>119.03100000000001</v>
      </c>
      <c r="E284" s="13">
        <v>2.66</v>
      </c>
      <c r="F284" s="14">
        <v>264184</v>
      </c>
      <c r="G284" s="15">
        <f t="shared" si="6"/>
        <v>9.4735130219465447E-3</v>
      </c>
      <c r="H284" s="16">
        <f>C284*1000/F284</f>
        <v>83.750813826726827</v>
      </c>
      <c r="I284" s="16">
        <f>B284*1000/F284</f>
        <v>57.89838900160494</v>
      </c>
      <c r="J284" s="5">
        <f t="shared" si="7"/>
        <v>-2.8235130219465441E-3</v>
      </c>
      <c r="K284" s="5">
        <f>LN(H285)-LN(H284)</f>
        <v>4.9425237510707376E-3</v>
      </c>
      <c r="L284" s="5">
        <f>LN(I285)-LN(I284)</f>
        <v>5.0634994184228788E-5</v>
      </c>
    </row>
    <row r="285" spans="1:12" x14ac:dyDescent="0.5">
      <c r="A285" s="11">
        <v>44835</v>
      </c>
      <c r="B285" s="12">
        <v>15326.248</v>
      </c>
      <c r="C285" s="12">
        <v>22278.345000000001</v>
      </c>
      <c r="D285" s="12">
        <v>120.164</v>
      </c>
      <c r="E285" s="13">
        <v>4.04</v>
      </c>
      <c r="F285" s="14">
        <v>264696</v>
      </c>
      <c r="G285" s="15">
        <f t="shared" si="6"/>
        <v>9.3104063694511296E-3</v>
      </c>
      <c r="H285" s="16">
        <f>C285*1000/F285</f>
        <v>84.165778855743952</v>
      </c>
      <c r="I285" s="16">
        <f>B285*1000/F285</f>
        <v>57.901320760419502</v>
      </c>
      <c r="J285" s="5">
        <f t="shared" si="7"/>
        <v>7.8959363054886995E-4</v>
      </c>
      <c r="K285" s="5">
        <f>LN(H286)-LN(H285)</f>
        <v>1.8658881904807245E-3</v>
      </c>
      <c r="L285" s="5">
        <f>LN(I286)-LN(I285)</f>
        <v>5.6525883359999085E-3</v>
      </c>
    </row>
    <row r="286" spans="1:12" x14ac:dyDescent="0.5">
      <c r="A286" s="11">
        <v>44927</v>
      </c>
      <c r="B286" s="12">
        <v>15495.754000000001</v>
      </c>
      <c r="C286" s="12">
        <v>22439.607</v>
      </c>
      <c r="D286" s="12">
        <v>121.288</v>
      </c>
      <c r="E286" s="13">
        <v>4.63</v>
      </c>
      <c r="F286" s="14">
        <v>266115</v>
      </c>
      <c r="G286" s="15">
        <f t="shared" si="6"/>
        <v>5.1972091590561931E-3</v>
      </c>
      <c r="H286" s="16">
        <f>C286*1000/F286</f>
        <v>84.322969392931626</v>
      </c>
      <c r="I286" s="16">
        <f>B286*1000/F286</f>
        <v>58.229539860586591</v>
      </c>
      <c r="J286" s="5">
        <f t="shared" si="7"/>
        <v>6.3777908409438071E-3</v>
      </c>
      <c r="K286" s="5">
        <f>LN(H287)-LN(H286)</f>
        <v>4.3594623938751909E-3</v>
      </c>
      <c r="L286" s="5">
        <f>LN(I287)-LN(I286)</f>
        <v>1.8340949489425995E-3</v>
      </c>
    </row>
    <row r="287" spans="1:12" x14ac:dyDescent="0.5">
      <c r="A287" s="11">
        <v>45017</v>
      </c>
      <c r="B287" s="12">
        <v>15553.718999999999</v>
      </c>
      <c r="C287" s="12">
        <v>22580.499</v>
      </c>
      <c r="D287" s="12">
        <v>121.92</v>
      </c>
      <c r="E287" s="13">
        <v>5.07</v>
      </c>
      <c r="F287" s="14">
        <v>266621</v>
      </c>
      <c r="G287" s="15">
        <f t="shared" si="6"/>
        <v>8.1198318969910588E-3</v>
      </c>
      <c r="H287" s="16">
        <f>C287*1000/F287</f>
        <v>84.691374647908461</v>
      </c>
      <c r="I287" s="16">
        <f>B287*1000/F287</f>
        <v>58.336436364727462</v>
      </c>
      <c r="J287" s="5">
        <f t="shared" si="7"/>
        <v>4.5551681030089417E-3</v>
      </c>
      <c r="K287" s="5">
        <f>LN(H288)-LN(H287)</f>
        <v>9.2483662314633008E-3</v>
      </c>
      <c r="L287" s="5">
        <f>LN(I288)-LN(I287)</f>
        <v>5.348247484247004E-3</v>
      </c>
    </row>
    <row r="288" spans="1:12" x14ac:dyDescent="0.5">
      <c r="A288" s="11">
        <v>45108</v>
      </c>
      <c r="B288" s="12">
        <v>15671.906000000001</v>
      </c>
      <c r="C288" s="12">
        <v>22840.989000000001</v>
      </c>
      <c r="D288" s="12">
        <v>122.914</v>
      </c>
      <c r="E288" s="13">
        <v>5.29</v>
      </c>
      <c r="F288" s="14">
        <v>267214</v>
      </c>
      <c r="G288" s="15">
        <f t="shared" si="6"/>
        <v>3.986705453676187E-3</v>
      </c>
      <c r="H288" s="16">
        <f>C288*1000/F288</f>
        <v>85.478264611884114</v>
      </c>
      <c r="I288" s="16">
        <f>B288*1000/F288</f>
        <v>58.649269873584466</v>
      </c>
      <c r="J288" s="5">
        <f t="shared" si="7"/>
        <v>9.2382945463238136E-3</v>
      </c>
      <c r="K288" s="5">
        <f>LN(H289)-LN(H288)</f>
        <v>6.1473391886108786E-3</v>
      </c>
      <c r="L288" s="5">
        <f>LN(I289)-LN(I288)</f>
        <v>5.2314128670598592E-3</v>
      </c>
    </row>
    <row r="289" spans="1:12" x14ac:dyDescent="0.5">
      <c r="A289" s="11">
        <v>45200</v>
      </c>
      <c r="B289" s="12">
        <v>15789.717000000001</v>
      </c>
      <c r="C289" s="12">
        <v>23033.78</v>
      </c>
      <c r="D289" s="12">
        <v>123.405</v>
      </c>
      <c r="E289" s="13">
        <v>5.28</v>
      </c>
      <c r="F289" s="14">
        <v>267818</v>
      </c>
      <c r="G289" s="15">
        <f t="shared" si="6"/>
        <v>7.8215259564258233E-3</v>
      </c>
      <c r="H289" s="16">
        <f>C289*1000/F289</f>
        <v>86.005346914695807</v>
      </c>
      <c r="I289" s="16">
        <f>B289*1000/F289</f>
        <v>58.956892367204595</v>
      </c>
      <c r="J289" s="5">
        <f t="shared" si="7"/>
        <v>5.3784740435741767E-3</v>
      </c>
      <c r="K289" s="5">
        <f>LN(H290)-LN(H289)</f>
        <v>2.4922839322609747E-3</v>
      </c>
      <c r="L289" s="5">
        <f>LN(I290)-LN(I289)</f>
        <v>4.6924031648769571E-3</v>
      </c>
    </row>
    <row r="290" spans="1:12" x14ac:dyDescent="0.5">
      <c r="A290" s="11">
        <v>45292</v>
      </c>
      <c r="B290" s="12">
        <v>15857.704</v>
      </c>
      <c r="C290" s="12">
        <v>23082.118999999999</v>
      </c>
      <c r="D290" s="12">
        <v>124.374</v>
      </c>
      <c r="E290" s="13">
        <v>5.23</v>
      </c>
      <c r="F290" s="14">
        <v>267712</v>
      </c>
      <c r="G290" s="15">
        <f t="shared" si="6"/>
        <v>6.3556904029500316E-3</v>
      </c>
      <c r="H290" s="16">
        <f>C290*1000/F290</f>
        <v>86.219963991154671</v>
      </c>
      <c r="I290" s="16">
        <f>B290*1000/F290</f>
        <v>59.234191967487448</v>
      </c>
      <c r="J290" s="5">
        <f t="shared" si="7"/>
        <v>6.7193095970499699E-3</v>
      </c>
      <c r="K290" s="5">
        <f>LN(H291)-LN(H290)</f>
        <v>6.8045549928132942E-3</v>
      </c>
      <c r="L290" s="5">
        <f>LN(I291)-LN(I290)</f>
        <v>7.5240808541980897E-3</v>
      </c>
    </row>
    <row r="291" spans="1:12" x14ac:dyDescent="0.5">
      <c r="A291" s="11">
        <v>45383</v>
      </c>
      <c r="B291" s="12">
        <v>16009.637000000001</v>
      </c>
      <c r="C291" s="12">
        <v>23286.508000000002</v>
      </c>
      <c r="D291" s="12">
        <v>125.167</v>
      </c>
      <c r="E291" s="13">
        <v>5.24</v>
      </c>
      <c r="F291" s="14">
        <v>268251</v>
      </c>
      <c r="G291" s="15">
        <f t="shared" si="6"/>
        <v>4.2174476435663522E-3</v>
      </c>
      <c r="H291" s="16">
        <f>C291*1000/F291</f>
        <v>86.808653089830045</v>
      </c>
      <c r="I291" s="16">
        <f>B291*1000/F291</f>
        <v>59.681555707154864</v>
      </c>
      <c r="J291" s="5">
        <f t="shared" si="7"/>
        <v>8.8825523564336484E-3</v>
      </c>
      <c r="K291" s="5">
        <f>LN(H292)-LN(H291)</f>
        <v>5.9462644925982744E-3</v>
      </c>
      <c r="L291" s="5">
        <f>LN(I292)-LN(I291)</f>
        <v>7.4373780225513997E-3</v>
      </c>
    </row>
    <row r="292" spans="1:12" x14ac:dyDescent="0.5">
      <c r="A292" s="11">
        <v>45474</v>
      </c>
      <c r="B292" s="12">
        <v>16165.768</v>
      </c>
      <c r="C292" s="12">
        <v>23478.57</v>
      </c>
      <c r="D292" s="12">
        <v>125.696</v>
      </c>
      <c r="E292" s="13">
        <v>4.99</v>
      </c>
      <c r="F292" s="14">
        <v>268860</v>
      </c>
      <c r="G292" s="15">
        <f t="shared" si="6"/>
        <v>5.9806798240282788E-3</v>
      </c>
      <c r="H292" s="16">
        <f>C292*1000/F292</f>
        <v>87.326378040615936</v>
      </c>
      <c r="I292" s="16">
        <f>B292*1000/F292</f>
        <v>60.127084728111285</v>
      </c>
      <c r="J292" s="5">
        <f t="shared" si="7"/>
        <v>6.4943201759717212E-3</v>
      </c>
      <c r="K292" s="5">
        <f>LN(H293)-LN(H292)</f>
        <v>2.3479133108450512E-3</v>
      </c>
      <c r="L292" s="5">
        <f>LN(I293)-LN(I292)</f>
        <v>7.3096706438464665E-3</v>
      </c>
    </row>
    <row r="293" spans="1:12" x14ac:dyDescent="0.5">
      <c r="A293" s="11">
        <v>45566</v>
      </c>
      <c r="B293" s="12">
        <v>16320.89</v>
      </c>
      <c r="C293" s="12">
        <v>23586.542000000001</v>
      </c>
      <c r="D293" s="12">
        <v>126.45</v>
      </c>
      <c r="E293" s="13">
        <v>4.4000000000000004</v>
      </c>
      <c r="F293" s="14">
        <v>269463</v>
      </c>
      <c r="G293" s="15">
        <f t="shared" si="6"/>
        <v>8.8731307638916235E-3</v>
      </c>
      <c r="H293" s="16">
        <f>C293*1000/F293</f>
        <v>87.531653696425849</v>
      </c>
      <c r="I293" s="16">
        <f>B293*1000/F293</f>
        <v>60.568204169032484</v>
      </c>
      <c r="J293" s="5">
        <f t="shared" si="7"/>
        <v>2.1268692361083776E-3</v>
      </c>
      <c r="K293" s="5">
        <f>LN(H294)-LN(H293)</f>
        <v>-1.4124920053023793E-2</v>
      </c>
      <c r="L293" s="5">
        <f>LN(I294)-LN(I293)</f>
        <v>-1.0973760994192006E-2</v>
      </c>
    </row>
    <row r="294" spans="1:12" x14ac:dyDescent="0.5">
      <c r="A294" s="11">
        <v>45658</v>
      </c>
      <c r="B294" s="12">
        <v>16345.793</v>
      </c>
      <c r="C294" s="12">
        <v>23548.21</v>
      </c>
      <c r="D294" s="12">
        <v>127.577</v>
      </c>
      <c r="E294" s="13">
        <v>4.21</v>
      </c>
      <c r="F294" s="14">
        <v>272852</v>
      </c>
      <c r="G294" s="15">
        <f>LN(D295)-LN(D294)</f>
        <v>5.2457855075065396E-3</v>
      </c>
      <c r="H294" s="16">
        <f>C294*1000/F294</f>
        <v>86.303966985765172</v>
      </c>
      <c r="I294" s="16">
        <f>B294*1000/F294</f>
        <v>59.907176784483894</v>
      </c>
      <c r="J294" s="5">
        <f t="shared" si="7"/>
        <v>5.27921449249346E-3</v>
      </c>
      <c r="K294" s="5">
        <f>LN(H295)-LN(H294)</f>
        <v>7.4493658569600996E-3</v>
      </c>
      <c r="L294" s="5">
        <f>LN(I295)-LN(I294)</f>
        <v>4.1264116555419506E-3</v>
      </c>
    </row>
    <row r="295" spans="1:12" x14ac:dyDescent="0.5">
      <c r="A295" s="11">
        <v>45748</v>
      </c>
      <c r="B295" s="12">
        <v>16445.685000000001</v>
      </c>
      <c r="C295" s="12">
        <v>23770.975999999999</v>
      </c>
      <c r="D295" s="12">
        <v>128.24799999999999</v>
      </c>
      <c r="E295" s="13">
        <v>4.2300000000000004</v>
      </c>
      <c r="F295" s="14">
        <v>273389</v>
      </c>
      <c r="G295" s="15" t="e">
        <f>LN(D296)-LN(D295)</f>
        <v>#NUM!</v>
      </c>
      <c r="H295" s="16">
        <f>C295*1000/F295</f>
        <v>86.949277403260552</v>
      </c>
      <c r="I295" s="16">
        <f>B295*1000/F295</f>
        <v>60.154889187202123</v>
      </c>
      <c r="J295" s="5" t="e">
        <f>(E295/400)-G295</f>
        <v>#NUM!</v>
      </c>
      <c r="K295" s="5" t="e">
        <f>LN(H296)-LN(H295)</f>
        <v>#NUM!</v>
      </c>
      <c r="L295" s="5" t="e">
        <f>LN(I296)-LN(I295)</f>
        <v>#NUM!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7893-E7D9-6C43-8980-6DC4BDFBA330}">
  <sheetPr>
    <tabColor rgb="FFFFFF00"/>
  </sheetPr>
  <dimension ref="A1:C295"/>
  <sheetViews>
    <sheetView showGridLines="0" zoomScale="115" workbookViewId="0">
      <pane ySplit="1" topLeftCell="A10" activePane="bottomLeft" state="frozen"/>
      <selection pane="bottomLeft" activeCell="E9" sqref="E9"/>
    </sheetView>
  </sheetViews>
  <sheetFormatPr baseColWidth="10" defaultRowHeight="15.75" x14ac:dyDescent="0.5"/>
  <cols>
    <col min="1" max="3" width="12.6875" bestFit="1" customWidth="1"/>
    <col min="5" max="5" width="34.6875" customWidth="1"/>
  </cols>
  <sheetData>
    <row r="1" spans="1:3" x14ac:dyDescent="0.5">
      <c r="A1" s="7" t="s">
        <v>11</v>
      </c>
      <c r="B1" s="7" t="s">
        <v>12</v>
      </c>
      <c r="C1" s="7" t="s">
        <v>13</v>
      </c>
    </row>
    <row r="2" spans="1:3" x14ac:dyDescent="0.5">
      <c r="A2" s="5">
        <v>2.7126949568437196E-3</v>
      </c>
      <c r="B2" s="5">
        <v>7.6842677520128078E-4</v>
      </c>
      <c r="C2" s="5">
        <v>1.8021420012908074E-2</v>
      </c>
    </row>
    <row r="3" spans="1:3" x14ac:dyDescent="0.5">
      <c r="A3" s="5">
        <v>-7.0196936632977332E-3</v>
      </c>
      <c r="B3" s="5">
        <v>3.9917426675102341E-3</v>
      </c>
      <c r="C3" s="5">
        <v>1.5903982118889992E-3</v>
      </c>
    </row>
    <row r="4" spans="1:3" x14ac:dyDescent="0.5">
      <c r="A4" s="5">
        <v>1.75780573259592E-3</v>
      </c>
      <c r="B4" s="5">
        <v>2.8900180807735154E-2</v>
      </c>
      <c r="C4" s="5">
        <v>3.1258612844048184E-2</v>
      </c>
    </row>
    <row r="5" spans="1:3" x14ac:dyDescent="0.5">
      <c r="A5" s="5">
        <v>4.5009772980963078E-3</v>
      </c>
      <c r="B5" s="5">
        <v>9.2942792703509802E-3</v>
      </c>
      <c r="C5" s="5">
        <v>2.550135514156171E-3</v>
      </c>
    </row>
    <row r="6" spans="1:3" x14ac:dyDescent="0.5">
      <c r="A6" s="5">
        <v>2.9360508614493137E-3</v>
      </c>
      <c r="B6" s="5">
        <v>5.5193009937313242E-3</v>
      </c>
      <c r="C6" s="5">
        <v>3.8203150500124572E-3</v>
      </c>
    </row>
    <row r="7" spans="1:3" x14ac:dyDescent="0.5">
      <c r="A7" s="5">
        <v>1.2108059992291618E-3</v>
      </c>
      <c r="B7" s="5">
        <v>-7.8368413425531358E-3</v>
      </c>
      <c r="C7" s="5">
        <v>-4.5806133492196643E-3</v>
      </c>
    </row>
    <row r="8" spans="1:3" x14ac:dyDescent="0.5">
      <c r="A8" s="5">
        <v>3.0465687691972731E-3</v>
      </c>
      <c r="B8" s="5">
        <v>-1.8635287576097337E-2</v>
      </c>
      <c r="C8" s="5">
        <v>-1.0109962814136786E-2</v>
      </c>
    </row>
    <row r="9" spans="1:3" x14ac:dyDescent="0.5">
      <c r="A9" s="5">
        <v>4.9511194427477806E-4</v>
      </c>
      <c r="B9" s="5">
        <v>-8.260080043438478E-3</v>
      </c>
      <c r="C9" s="5">
        <v>2.0865705199657469E-4</v>
      </c>
    </row>
    <row r="10" spans="1:3" x14ac:dyDescent="0.5">
      <c r="A10" s="5">
        <v>1.7643910860293964E-3</v>
      </c>
      <c r="B10" s="5">
        <v>-1.6835568994832961E-3</v>
      </c>
      <c r="C10" s="5">
        <v>1.0124969313026533E-2</v>
      </c>
    </row>
    <row r="11" spans="1:3" x14ac:dyDescent="0.5">
      <c r="A11" s="5">
        <v>6.4805546323859053E-4</v>
      </c>
      <c r="B11" s="5">
        <v>8.777645927518396E-3</v>
      </c>
      <c r="C11" s="5">
        <v>1.098677111032309E-2</v>
      </c>
    </row>
    <row r="12" spans="1:3" x14ac:dyDescent="0.5">
      <c r="A12" s="5">
        <v>-5.2209106837006929E-4</v>
      </c>
      <c r="B12" s="5">
        <v>1.6222657779426441E-2</v>
      </c>
      <c r="C12" s="5">
        <v>1.7612505922600441E-2</v>
      </c>
    </row>
    <row r="13" spans="1:3" x14ac:dyDescent="0.5">
      <c r="A13" s="5">
        <v>-2.1410589581083959E-3</v>
      </c>
      <c r="B13" s="5">
        <v>2.500837890589569E-2</v>
      </c>
      <c r="C13" s="5">
        <v>1.9032182742179771E-2</v>
      </c>
    </row>
    <row r="14" spans="1:3" x14ac:dyDescent="0.5">
      <c r="A14" s="5">
        <v>-1.0367020315698002E-3</v>
      </c>
      <c r="B14" s="5">
        <v>1.2449253239724456E-2</v>
      </c>
      <c r="C14" s="5">
        <v>1.5280544485849035E-2</v>
      </c>
    </row>
    <row r="15" spans="1:3" x14ac:dyDescent="0.5">
      <c r="A15" s="5">
        <v>-3.2671520668661556E-3</v>
      </c>
      <c r="B15" s="5">
        <v>1.0227530496569326E-2</v>
      </c>
      <c r="C15" s="5">
        <v>9.0855252067001402E-3</v>
      </c>
    </row>
    <row r="16" spans="1:3" x14ac:dyDescent="0.5">
      <c r="A16" s="5">
        <v>-5.209386836308825E-3</v>
      </c>
      <c r="B16" s="5">
        <v>3.2441102884082085E-3</v>
      </c>
      <c r="C16" s="5">
        <v>9.7347275723396187E-3</v>
      </c>
    </row>
    <row r="17" spans="1:3" x14ac:dyDescent="0.5">
      <c r="A17" s="5">
        <v>-4.1258558527796033E-3</v>
      </c>
      <c r="B17" s="5">
        <v>-6.5797913313172529E-3</v>
      </c>
      <c r="C17" s="5">
        <v>-1.0685808809145492E-3</v>
      </c>
    </row>
    <row r="18" spans="1:3" x14ac:dyDescent="0.5">
      <c r="A18" s="5">
        <v>-4.2607234279148226E-5</v>
      </c>
      <c r="B18" s="5">
        <v>5.4749850687887403E-3</v>
      </c>
      <c r="C18" s="5">
        <v>5.6375214125026218E-4</v>
      </c>
    </row>
    <row r="19" spans="1:3" x14ac:dyDescent="0.5">
      <c r="A19" s="5">
        <v>-6.0436401014044719E-3</v>
      </c>
      <c r="B19" s="5">
        <v>-3.8266727498217357E-3</v>
      </c>
      <c r="C19" s="5">
        <v>-6.7063989721294348E-4</v>
      </c>
    </row>
    <row r="20" spans="1:3" x14ac:dyDescent="0.5">
      <c r="A20" s="5">
        <v>2.4205378298795431E-3</v>
      </c>
      <c r="B20" s="5">
        <v>1.3467266174242987E-2</v>
      </c>
      <c r="C20" s="5">
        <v>1.0833820190097487E-2</v>
      </c>
    </row>
    <row r="21" spans="1:3" x14ac:dyDescent="0.5">
      <c r="A21" s="5">
        <v>-6.0596968339275961E-3</v>
      </c>
      <c r="B21" s="5">
        <v>3.7920928310040125E-3</v>
      </c>
      <c r="C21" s="5">
        <v>4.3408084234068944E-3</v>
      </c>
    </row>
    <row r="22" spans="1:3" x14ac:dyDescent="0.5">
      <c r="A22" s="5">
        <v>7.9795455202921056E-4</v>
      </c>
      <c r="B22" s="5">
        <v>-5.098642268850373E-3</v>
      </c>
      <c r="C22" s="5">
        <v>-1.1630591109237365E-3</v>
      </c>
    </row>
    <row r="23" spans="1:3" x14ac:dyDescent="0.5">
      <c r="A23" s="5">
        <v>1.8907489384361927E-3</v>
      </c>
      <c r="B23" s="5">
        <v>6.312393531470839E-3</v>
      </c>
      <c r="C23" s="5">
        <v>4.4319300372293036E-3</v>
      </c>
    </row>
    <row r="24" spans="1:3" x14ac:dyDescent="0.5">
      <c r="A24" s="5">
        <v>7.7000539700575535E-3</v>
      </c>
      <c r="B24" s="5">
        <v>-1.4260843230709419E-2</v>
      </c>
      <c r="C24" s="5">
        <v>-3.4449798108089347E-3</v>
      </c>
    </row>
    <row r="25" spans="1:3" x14ac:dyDescent="0.5">
      <c r="A25" s="5">
        <v>-2.5293865509133148E-3</v>
      </c>
      <c r="B25" s="5">
        <v>-2.9574780903219633E-2</v>
      </c>
      <c r="C25" s="5">
        <v>-1.7203743232848012E-2</v>
      </c>
    </row>
    <row r="26" spans="1:3" x14ac:dyDescent="0.5">
      <c r="A26" s="5">
        <v>1.5340001044199933E-3</v>
      </c>
      <c r="B26" s="5">
        <v>3.9369076000590475E-3</v>
      </c>
      <c r="C26" s="5">
        <v>5.6228983538759714E-3</v>
      </c>
    </row>
    <row r="27" spans="1:3" x14ac:dyDescent="0.5">
      <c r="A27" s="5">
        <v>-3.7044579452995686E-3</v>
      </c>
      <c r="B27" s="5">
        <v>2.0105719251255927E-2</v>
      </c>
      <c r="C27" s="5">
        <v>1.3693282278152807E-2</v>
      </c>
    </row>
    <row r="28" spans="1:3" x14ac:dyDescent="0.5">
      <c r="A28" s="5">
        <v>-5.5154328931104456E-4</v>
      </c>
      <c r="B28" s="5">
        <v>1.9281951607494907E-2</v>
      </c>
      <c r="C28" s="5">
        <v>9.6609074306091003E-3</v>
      </c>
    </row>
    <row r="29" spans="1:3" x14ac:dyDescent="0.5">
      <c r="A29" s="5">
        <v>4.423351662033467E-3</v>
      </c>
      <c r="B29" s="5">
        <v>1.52381239078343E-2</v>
      </c>
      <c r="C29" s="5">
        <v>1.4398073642174047E-2</v>
      </c>
    </row>
    <row r="30" spans="1:3" x14ac:dyDescent="0.5">
      <c r="A30" s="5">
        <v>5.3497830820023315E-3</v>
      </c>
      <c r="B30" s="5">
        <v>1.8586168558030636E-2</v>
      </c>
      <c r="C30" s="5">
        <v>1.1628138916575992E-2</v>
      </c>
    </row>
    <row r="31" spans="1:3" x14ac:dyDescent="0.5">
      <c r="A31" s="5">
        <v>3.6381068022761018E-3</v>
      </c>
      <c r="B31" s="5">
        <v>-2.8748725255045571E-3</v>
      </c>
      <c r="C31" s="5">
        <v>6.8206249989306578E-3</v>
      </c>
    </row>
    <row r="32" spans="1:3" x14ac:dyDescent="0.5">
      <c r="A32" s="5">
        <v>4.9378870363747419E-3</v>
      </c>
      <c r="B32" s="5">
        <v>-3.2529977244077912E-4</v>
      </c>
      <c r="C32" s="5">
        <v>-2.0450890529959409E-3</v>
      </c>
    </row>
    <row r="33" spans="1:3" x14ac:dyDescent="0.5">
      <c r="A33" s="5">
        <v>6.6133127272138825E-3</v>
      </c>
      <c r="B33" s="5">
        <v>1.5445139300545918E-2</v>
      </c>
      <c r="C33" s="5">
        <v>2.7289930198923784E-3</v>
      </c>
    </row>
    <row r="34" spans="1:3" x14ac:dyDescent="0.5">
      <c r="A34" s="5">
        <v>7.1503182899784849E-3</v>
      </c>
      <c r="B34" s="5">
        <v>-8.2131517952186428E-3</v>
      </c>
      <c r="C34" s="5">
        <v>9.7202079207070469E-3</v>
      </c>
    </row>
    <row r="35" spans="1:3" x14ac:dyDescent="0.5">
      <c r="A35" s="5">
        <v>4.0542073009303039E-3</v>
      </c>
      <c r="B35" s="5">
        <v>1.6968741765830408E-3</v>
      </c>
      <c r="C35" s="5">
        <v>-7.1957680366128152E-3</v>
      </c>
    </row>
    <row r="36" spans="1:3" x14ac:dyDescent="0.5">
      <c r="A36" s="5">
        <v>2.940466217876009E-3</v>
      </c>
      <c r="B36" s="5">
        <v>-1.6425729667001843E-2</v>
      </c>
      <c r="C36" s="5">
        <v>-2.2171190009037112E-3</v>
      </c>
    </row>
    <row r="37" spans="1:3" x14ac:dyDescent="0.5">
      <c r="A37" s="5">
        <v>3.5931342817054042E-3</v>
      </c>
      <c r="B37" s="5">
        <v>3.0846313855819041E-3</v>
      </c>
      <c r="C37" s="5">
        <v>-4.0142944028400684E-3</v>
      </c>
    </row>
    <row r="38" spans="1:3" x14ac:dyDescent="0.5">
      <c r="A38" s="5">
        <v>3.5699663247829392E-3</v>
      </c>
      <c r="B38" s="5">
        <v>1.3610893901512267E-2</v>
      </c>
      <c r="C38" s="5">
        <v>1.1547064054458378E-2</v>
      </c>
    </row>
    <row r="39" spans="1:3" x14ac:dyDescent="0.5">
      <c r="A39" s="5">
        <v>3.1950675933232978E-3</v>
      </c>
      <c r="B39" s="5">
        <v>1.5949680259215171E-2</v>
      </c>
      <c r="C39" s="5">
        <v>1.7787866946563646E-3</v>
      </c>
    </row>
    <row r="40" spans="1:3" x14ac:dyDescent="0.5">
      <c r="A40" s="5">
        <v>2.6290777508806932E-3</v>
      </c>
      <c r="B40" s="5">
        <v>1.7839806479739817E-2</v>
      </c>
      <c r="C40" s="5">
        <v>1.8328104374269572E-2</v>
      </c>
    </row>
    <row r="41" spans="1:3" x14ac:dyDescent="0.5">
      <c r="A41" s="5">
        <v>1.0121878037209322E-3</v>
      </c>
      <c r="B41" s="5">
        <v>1.609497824575401E-2</v>
      </c>
      <c r="C41" s="5">
        <v>8.9524308609312264E-3</v>
      </c>
    </row>
    <row r="42" spans="1:3" x14ac:dyDescent="0.5">
      <c r="A42" s="5">
        <v>5.1564064825185552E-3</v>
      </c>
      <c r="B42" s="5">
        <v>5.3278954162441217E-3</v>
      </c>
      <c r="C42" s="5">
        <v>8.5398459748176059E-3</v>
      </c>
    </row>
    <row r="43" spans="1:3" x14ac:dyDescent="0.5">
      <c r="A43" s="5">
        <v>4.7177832651058293E-3</v>
      </c>
      <c r="B43" s="5">
        <v>7.6492428692702674E-3</v>
      </c>
      <c r="C43" s="5">
        <v>3.4554399972668293E-3</v>
      </c>
    </row>
    <row r="44" spans="1:3" x14ac:dyDescent="0.5">
      <c r="A44" s="5">
        <v>5.0221098842381283E-3</v>
      </c>
      <c r="B44" s="5">
        <v>-2.3283165001841688E-3</v>
      </c>
      <c r="C44" s="5">
        <v>8.4333490274279832E-3</v>
      </c>
    </row>
    <row r="45" spans="1:3" x14ac:dyDescent="0.5">
      <c r="A45" s="5">
        <v>2.6942227933565675E-3</v>
      </c>
      <c r="B45" s="5">
        <v>5.9664776552814658E-3</v>
      </c>
      <c r="C45" s="5">
        <v>2.0852168443030727E-3</v>
      </c>
    </row>
    <row r="46" spans="1:3" x14ac:dyDescent="0.5">
      <c r="A46" s="5">
        <v>5.5229189560828916E-3</v>
      </c>
      <c r="B46" s="5">
        <v>6.8385216811828187E-3</v>
      </c>
      <c r="C46" s="5">
        <v>5.0691234917663586E-3</v>
      </c>
    </row>
    <row r="47" spans="1:3" x14ac:dyDescent="0.5">
      <c r="A47" s="5">
        <v>6.0379508286166105E-3</v>
      </c>
      <c r="B47" s="5">
        <v>1.7641191400909584E-2</v>
      </c>
      <c r="C47" s="5">
        <v>9.3657144130281367E-3</v>
      </c>
    </row>
    <row r="48" spans="1:3" x14ac:dyDescent="0.5">
      <c r="A48" s="5">
        <v>1.4088160004107134E-4</v>
      </c>
      <c r="B48" s="5">
        <v>2.3156921497418104E-3</v>
      </c>
      <c r="C48" s="5">
        <v>4.0765329004441853E-3</v>
      </c>
    </row>
    <row r="49" spans="1:3" x14ac:dyDescent="0.5">
      <c r="A49" s="5">
        <v>5.5963010685639789E-3</v>
      </c>
      <c r="B49" s="5">
        <v>1.6663690670983833E-2</v>
      </c>
      <c r="C49" s="5">
        <v>1.5231981558772922E-2</v>
      </c>
    </row>
    <row r="50" spans="1:3" x14ac:dyDescent="0.5">
      <c r="A50" s="5">
        <v>6.5432315652757256E-3</v>
      </c>
      <c r="B50" s="5">
        <v>6.8384334776565581E-3</v>
      </c>
      <c r="C50" s="5">
        <v>1.3540869325493698E-2</v>
      </c>
    </row>
    <row r="51" spans="1:3" x14ac:dyDescent="0.5">
      <c r="A51" s="5">
        <v>4.7040521014881237E-3</v>
      </c>
      <c r="B51" s="5">
        <v>1.1198956903733848E-2</v>
      </c>
      <c r="C51" s="5">
        <v>1.3997425425364085E-2</v>
      </c>
    </row>
    <row r="52" spans="1:3" x14ac:dyDescent="0.5">
      <c r="A52" s="5">
        <v>4.2201195801405342E-3</v>
      </c>
      <c r="B52" s="5">
        <v>-1.312373611964901E-3</v>
      </c>
      <c r="C52" s="5">
        <v>-1.5494150889052705E-3</v>
      </c>
    </row>
    <row r="53" spans="1:3" x14ac:dyDescent="0.5">
      <c r="A53" s="5">
        <v>4.204254262052079E-3</v>
      </c>
      <c r="B53" s="5">
        <v>1.9729365868112581E-2</v>
      </c>
      <c r="C53" s="5">
        <v>1.7874442464346441E-2</v>
      </c>
    </row>
    <row r="54" spans="1:3" x14ac:dyDescent="0.5">
      <c r="A54" s="5">
        <v>5.1169763244281082E-3</v>
      </c>
      <c r="B54" s="5">
        <v>8.5022310251301469E-3</v>
      </c>
      <c r="C54" s="5">
        <v>6.9150230588652661E-3</v>
      </c>
    </row>
    <row r="55" spans="1:3" x14ac:dyDescent="0.5">
      <c r="A55" s="5">
        <v>5.810960898937078E-3</v>
      </c>
      <c r="B55" s="5">
        <v>1.8668842388325224E-2</v>
      </c>
      <c r="C55" s="5">
        <v>1.3717302262032938E-2</v>
      </c>
    </row>
    <row r="56" spans="1:3" x14ac:dyDescent="0.5">
      <c r="A56" s="5">
        <v>2.8289487599319034E-3</v>
      </c>
      <c r="B56" s="5">
        <v>1.9437909603248205E-2</v>
      </c>
      <c r="C56" s="5">
        <v>2.4385316746650343E-2</v>
      </c>
    </row>
    <row r="57" spans="1:3" x14ac:dyDescent="0.5">
      <c r="A57" s="5">
        <v>4.0416822774108456E-3</v>
      </c>
      <c r="B57" s="5">
        <v>2.1361170127779161E-2</v>
      </c>
      <c r="C57" s="5">
        <v>1.1968892311120971E-2</v>
      </c>
    </row>
    <row r="58" spans="1:3" x14ac:dyDescent="0.5">
      <c r="A58" s="5">
        <v>3.3520199483814059E-3</v>
      </c>
      <c r="B58" s="5">
        <v>6.052208303097828E-4</v>
      </c>
      <c r="C58" s="5">
        <v>-2.4464146371405704E-4</v>
      </c>
    </row>
    <row r="59" spans="1:3" x14ac:dyDescent="0.5">
      <c r="A59" s="5">
        <v>1.848252726795882E-3</v>
      </c>
      <c r="B59" s="5">
        <v>5.5822530052402897E-3</v>
      </c>
      <c r="C59" s="5">
        <v>8.5041554922091755E-3</v>
      </c>
    </row>
    <row r="60" spans="1:3" x14ac:dyDescent="0.5">
      <c r="A60" s="5">
        <v>4.2809200548657445E-3</v>
      </c>
      <c r="B60" s="5">
        <v>5.1882881552138826E-3</v>
      </c>
      <c r="C60" s="5">
        <v>1.1750951738096482E-3</v>
      </c>
    </row>
    <row r="61" spans="1:3" x14ac:dyDescent="0.5">
      <c r="A61" s="5">
        <v>8.8624224453789837E-3</v>
      </c>
      <c r="B61" s="5">
        <v>5.5044962362003069E-3</v>
      </c>
      <c r="C61" s="5">
        <v>2.431186766687965E-3</v>
      </c>
    </row>
    <row r="62" spans="1:3" x14ac:dyDescent="0.5">
      <c r="A62" s="5">
        <v>6.2108239011507624E-3</v>
      </c>
      <c r="B62" s="5">
        <v>-3.1225955688949369E-3</v>
      </c>
      <c r="C62" s="5">
        <v>9.8431589041929612E-3</v>
      </c>
    </row>
    <row r="63" spans="1:3" x14ac:dyDescent="0.5">
      <c r="A63" s="5">
        <v>-3.904762605411085E-4</v>
      </c>
      <c r="B63" s="5">
        <v>4.4950822043614558E-3</v>
      </c>
      <c r="C63" s="5">
        <v>1.8597355401173132E-4</v>
      </c>
    </row>
    <row r="64" spans="1:3" x14ac:dyDescent="0.5">
      <c r="A64" s="5">
        <v>-3.3232534333186778E-4</v>
      </c>
      <c r="B64" s="5">
        <v>2.980180639402974E-3</v>
      </c>
      <c r="C64" s="5">
        <v>1.5704837854300102E-3</v>
      </c>
    </row>
    <row r="65" spans="1:3" x14ac:dyDescent="0.5">
      <c r="A65" s="5">
        <v>8.58531812394734E-4</v>
      </c>
      <c r="B65" s="5">
        <v>1.6294785285032809E-2</v>
      </c>
      <c r="C65" s="5">
        <v>1.9789835163146474E-2</v>
      </c>
    </row>
    <row r="66" spans="1:3" x14ac:dyDescent="0.5">
      <c r="A66" s="5">
        <v>2.1137281825810445E-3</v>
      </c>
      <c r="B66" s="5">
        <v>1.3181453190870052E-2</v>
      </c>
      <c r="C66" s="5">
        <v>1.1728297503196927E-2</v>
      </c>
    </row>
    <row r="67" spans="1:3" x14ac:dyDescent="0.5">
      <c r="A67" s="5">
        <v>4.051839564103342E-3</v>
      </c>
      <c r="B67" s="5">
        <v>3.6389956718645422E-3</v>
      </c>
      <c r="C67" s="5">
        <v>1.449196871742009E-2</v>
      </c>
    </row>
    <row r="68" spans="1:3" x14ac:dyDescent="0.5">
      <c r="A68" s="5">
        <v>-1.0165186734924052E-3</v>
      </c>
      <c r="B68" s="5">
        <v>-8.3234701238676934E-4</v>
      </c>
      <c r="C68" s="5">
        <v>-2.5195535669197966E-4</v>
      </c>
    </row>
    <row r="69" spans="1:3" x14ac:dyDescent="0.5">
      <c r="A69" s="5">
        <v>3.7097259404050131E-3</v>
      </c>
      <c r="B69" s="5">
        <v>1.1047974927490767E-2</v>
      </c>
      <c r="C69" s="5">
        <v>6.5519843952155377E-3</v>
      </c>
    </row>
    <row r="70" spans="1:3" x14ac:dyDescent="0.5">
      <c r="A70" s="5">
        <v>2.5923628603643049E-3</v>
      </c>
      <c r="B70" s="5">
        <v>-1.0384085819947764E-3</v>
      </c>
      <c r="C70" s="5">
        <v>2.3629573652601543E-3</v>
      </c>
    </row>
    <row r="71" spans="1:3" x14ac:dyDescent="0.5">
      <c r="A71" s="5">
        <v>1.5217825218597908E-3</v>
      </c>
      <c r="B71" s="5">
        <v>2.2966151620429365E-3</v>
      </c>
      <c r="C71" s="5">
        <v>5.8226427588037311E-4</v>
      </c>
    </row>
    <row r="72" spans="1:3" x14ac:dyDescent="0.5">
      <c r="A72" s="5">
        <v>4.7355797372806048E-3</v>
      </c>
      <c r="B72" s="5">
        <v>-9.7265137542539293E-3</v>
      </c>
      <c r="C72" s="5">
        <v>3.1283489896787309E-3</v>
      </c>
    </row>
    <row r="73" spans="1:3" x14ac:dyDescent="0.5">
      <c r="A73" s="5">
        <v>4.360349983509617E-3</v>
      </c>
      <c r="B73" s="5">
        <v>-6.6744614193057217E-3</v>
      </c>
      <c r="C73" s="5">
        <v>1.0008308190947446E-3</v>
      </c>
    </row>
    <row r="74" spans="1:3" x14ac:dyDescent="0.5">
      <c r="A74" s="5">
        <v>4.2040489025605837E-3</v>
      </c>
      <c r="B74" s="5">
        <v>-3.9171259571144645E-3</v>
      </c>
      <c r="C74" s="5">
        <v>-8.1332318215610044E-4</v>
      </c>
    </row>
    <row r="75" spans="1:3" x14ac:dyDescent="0.5">
      <c r="A75" s="5">
        <v>8.5277943442719287E-3</v>
      </c>
      <c r="B75" s="5">
        <v>3.4890897922479347E-3</v>
      </c>
      <c r="C75" s="5">
        <v>3.0454879694246095E-3</v>
      </c>
    </row>
    <row r="76" spans="1:3" x14ac:dyDescent="0.5">
      <c r="A76" s="5">
        <v>2.692062679021244E-3</v>
      </c>
      <c r="B76" s="5">
        <v>-1.660566328301627E-2</v>
      </c>
      <c r="C76" s="5">
        <v>-8.5507125979438214E-3</v>
      </c>
    </row>
    <row r="77" spans="1:3" x14ac:dyDescent="0.5">
      <c r="A77" s="5">
        <v>-1.6999339794229445E-3</v>
      </c>
      <c r="B77" s="5">
        <v>2.1216628165293017E-2</v>
      </c>
      <c r="C77" s="5">
        <v>1.3430895373686358E-2</v>
      </c>
    </row>
    <row r="78" spans="1:3" x14ac:dyDescent="0.5">
      <c r="A78" s="5">
        <v>-3.4540205316389554E-3</v>
      </c>
      <c r="B78" s="5">
        <v>-2.9384140051158525E-4</v>
      </c>
      <c r="C78" s="5">
        <v>3.4611243838078565E-3</v>
      </c>
    </row>
    <row r="79" spans="1:3" x14ac:dyDescent="0.5">
      <c r="A79" s="5">
        <v>4.9988112372457115E-4</v>
      </c>
      <c r="B79" s="5">
        <v>2.65645954208793E-3</v>
      </c>
      <c r="C79" s="5">
        <v>2.4070125555830657E-3</v>
      </c>
    </row>
    <row r="80" spans="1:3" x14ac:dyDescent="0.5">
      <c r="A80" s="5">
        <v>4.2192269007895657E-3</v>
      </c>
      <c r="B80" s="5">
        <v>-3.3206887062866564E-3</v>
      </c>
      <c r="C80" s="5">
        <v>1.0789769829167017E-2</v>
      </c>
    </row>
    <row r="81" spans="1:3" x14ac:dyDescent="0.5">
      <c r="A81" s="5">
        <v>-4.5516488778203357E-3</v>
      </c>
      <c r="B81" s="5">
        <v>6.932732974140432E-3</v>
      </c>
      <c r="C81" s="5">
        <v>1.8390492811191095E-3</v>
      </c>
    </row>
    <row r="82" spans="1:3" x14ac:dyDescent="0.5">
      <c r="A82" s="5">
        <v>2.394468131464992E-3</v>
      </c>
      <c r="B82" s="5">
        <v>1.7180530279719441E-2</v>
      </c>
      <c r="C82" s="5">
        <v>1.359892760035919E-2</v>
      </c>
    </row>
    <row r="83" spans="1:3" x14ac:dyDescent="0.5">
      <c r="A83" s="5">
        <v>-8.2066038433099148E-5</v>
      </c>
      <c r="B83" s="5">
        <v>4.0962315503647595E-3</v>
      </c>
      <c r="C83" s="5">
        <v>9.9933354990016099E-3</v>
      </c>
    </row>
    <row r="84" spans="1:3" x14ac:dyDescent="0.5">
      <c r="A84" s="5">
        <v>-2.1205820843184838E-3</v>
      </c>
      <c r="B84" s="5">
        <v>1.1828978824400593E-2</v>
      </c>
      <c r="C84" s="5">
        <v>1.8418600008018871E-2</v>
      </c>
    </row>
    <row r="85" spans="1:3" x14ac:dyDescent="0.5">
      <c r="A85" s="5">
        <v>6.929928079454431E-4</v>
      </c>
      <c r="B85" s="5">
        <v>1.9303498662976537E-2</v>
      </c>
      <c r="C85" s="5">
        <v>1.2948275179931912E-2</v>
      </c>
    </row>
    <row r="86" spans="1:3" x14ac:dyDescent="0.5">
      <c r="A86" s="5">
        <v>-1.0268018379756393E-3</v>
      </c>
      <c r="B86" s="5">
        <v>5.6626003831561356E-3</v>
      </c>
      <c r="C86" s="5">
        <v>-5.6167889483504929E-3</v>
      </c>
    </row>
    <row r="87" spans="1:3" x14ac:dyDescent="0.5">
      <c r="A87" s="5">
        <v>-2.7623016603850054E-3</v>
      </c>
      <c r="B87" s="5">
        <v>-1.0425260848542006E-2</v>
      </c>
      <c r="C87" s="5">
        <v>-1.639585103978991E-3</v>
      </c>
    </row>
    <row r="88" spans="1:3" x14ac:dyDescent="0.5">
      <c r="A88" s="5">
        <v>1.068191725838899E-3</v>
      </c>
      <c r="B88" s="5">
        <v>4.3884155734121855E-3</v>
      </c>
      <c r="C88" s="5">
        <v>-8.0461041325077254E-3</v>
      </c>
    </row>
    <row r="89" spans="1:3" x14ac:dyDescent="0.5">
      <c r="A89" s="5">
        <v>5.4009613492844027E-5</v>
      </c>
      <c r="B89" s="5">
        <v>-1.3755138227154795E-2</v>
      </c>
      <c r="C89" s="5">
        <v>-1.4108012798768055E-2</v>
      </c>
    </row>
    <row r="90" spans="1:3" x14ac:dyDescent="0.5">
      <c r="A90" s="5">
        <v>-4.3083722681340857E-3</v>
      </c>
      <c r="B90" s="5">
        <v>-2.714000006853734E-3</v>
      </c>
      <c r="C90" s="5">
        <v>-1.4938774226598284E-3</v>
      </c>
    </row>
    <row r="91" spans="1:3" x14ac:dyDescent="0.5">
      <c r="A91" s="5">
        <v>-8.5223733176427487E-3</v>
      </c>
      <c r="B91" s="5">
        <v>-1.4500326531819319E-2</v>
      </c>
      <c r="C91" s="5">
        <v>-7.1613906027501173E-4</v>
      </c>
    </row>
    <row r="92" spans="1:3" x14ac:dyDescent="0.5">
      <c r="A92" s="5">
        <v>-8.5158631235205048E-3</v>
      </c>
      <c r="B92" s="5">
        <v>-8.8957566237257701E-3</v>
      </c>
      <c r="C92" s="5">
        <v>-1.9729166577746593E-2</v>
      </c>
    </row>
    <row r="93" spans="1:3" x14ac:dyDescent="0.5">
      <c r="A93" s="5">
        <v>-4.0770444477693235E-3</v>
      </c>
      <c r="B93" s="5">
        <v>-1.7092141747049983E-2</v>
      </c>
      <c r="C93" s="5">
        <v>3.511467107387034E-3</v>
      </c>
    </row>
    <row r="94" spans="1:3" x14ac:dyDescent="0.5">
      <c r="A94" s="5">
        <v>-3.7015857716740479E-4</v>
      </c>
      <c r="B94" s="5">
        <v>2.3889827583629675E-3</v>
      </c>
      <c r="C94" s="5">
        <v>1.1582008613931549E-2</v>
      </c>
    </row>
    <row r="95" spans="1:3" x14ac:dyDescent="0.5">
      <c r="A95" s="5">
        <v>-4.0225662302738763E-3</v>
      </c>
      <c r="B95" s="5">
        <v>1.1288051401810328E-2</v>
      </c>
      <c r="C95" s="5">
        <v>8.4252096349692884E-3</v>
      </c>
    </row>
    <row r="96" spans="1:3" x14ac:dyDescent="0.5">
      <c r="A96" s="5">
        <v>-7.7509449719490725E-4</v>
      </c>
      <c r="B96" s="5">
        <v>8.4640514141516299E-3</v>
      </c>
      <c r="C96" s="5">
        <v>5.7788602904391695E-3</v>
      </c>
    </row>
    <row r="97" spans="1:3" x14ac:dyDescent="0.5">
      <c r="A97" s="5">
        <v>3.564576237378542E-3</v>
      </c>
      <c r="B97" s="5">
        <v>1.7468575330034763E-2</v>
      </c>
      <c r="C97" s="5">
        <v>1.5019572714090934E-2</v>
      </c>
    </row>
    <row r="98" spans="1:3" x14ac:dyDescent="0.5">
      <c r="A98" s="5">
        <v>2.2771055595176785E-3</v>
      </c>
      <c r="B98" s="5">
        <v>2.8096112273936491E-3</v>
      </c>
      <c r="C98" s="5">
        <v>4.6611092274266852E-3</v>
      </c>
    </row>
    <row r="99" spans="1:3" x14ac:dyDescent="0.5">
      <c r="A99" s="5">
        <v>5.2589204929764585E-5</v>
      </c>
      <c r="B99" s="5">
        <v>6.3686738157997524E-4</v>
      </c>
      <c r="C99" s="5">
        <v>5.6513874893444616E-3</v>
      </c>
    </row>
    <row r="100" spans="1:3" x14ac:dyDescent="0.5">
      <c r="A100" s="5">
        <v>-4.8918794056025082E-3</v>
      </c>
      <c r="B100" s="5">
        <v>2.7697527573367076E-3</v>
      </c>
      <c r="C100" s="5">
        <v>8.4612098468239694E-3</v>
      </c>
    </row>
    <row r="101" spans="1:3" x14ac:dyDescent="0.5">
      <c r="A101" s="5">
        <v>-4.2729293212045907E-3</v>
      </c>
      <c r="B101" s="5">
        <v>7.4197616559015245E-3</v>
      </c>
      <c r="C101" s="5">
        <v>7.3451287637018581E-3</v>
      </c>
    </row>
    <row r="102" spans="1:3" x14ac:dyDescent="0.5">
      <c r="A102" s="5">
        <v>-2.4408748124852293E-3</v>
      </c>
      <c r="B102" s="5">
        <v>1.4551546767327395E-2</v>
      </c>
      <c r="C102" s="5">
        <v>7.2631804849221382E-4</v>
      </c>
    </row>
    <row r="103" spans="1:3" x14ac:dyDescent="0.5">
      <c r="A103" s="5">
        <v>3.2080214287244502E-6</v>
      </c>
      <c r="B103" s="5">
        <v>1.2979177642079787E-2</v>
      </c>
      <c r="C103" s="5">
        <v>4.5190755146657935E-3</v>
      </c>
    </row>
    <row r="104" spans="1:3" x14ac:dyDescent="0.5">
      <c r="A104" s="5">
        <v>-7.6371292098422038E-3</v>
      </c>
      <c r="B104" s="5">
        <v>-4.4235506273424541E-3</v>
      </c>
      <c r="C104" s="5">
        <v>1.048001874682658E-2</v>
      </c>
    </row>
    <row r="105" spans="1:3" x14ac:dyDescent="0.5">
      <c r="A105" s="5">
        <v>8.5540834941307334E-4</v>
      </c>
      <c r="B105" s="5">
        <v>-1.0999387718819698E-3</v>
      </c>
      <c r="C105" s="5">
        <v>1.3089955481859761E-3</v>
      </c>
    </row>
    <row r="106" spans="1:3" x14ac:dyDescent="0.5">
      <c r="A106" s="5">
        <v>-2.9736430995757797E-3</v>
      </c>
      <c r="B106" s="5">
        <v>3.3601363721079913E-2</v>
      </c>
      <c r="C106" s="5">
        <v>1.6835227878779779E-2</v>
      </c>
    </row>
    <row r="107" spans="1:3" x14ac:dyDescent="0.5">
      <c r="A107" s="5">
        <v>-6.4142893037287887E-4</v>
      </c>
      <c r="B107" s="5">
        <v>5.4363758077116131E-3</v>
      </c>
      <c r="C107" s="5">
        <v>-3.8057241703581823E-4</v>
      </c>
    </row>
    <row r="108" spans="1:3" x14ac:dyDescent="0.5">
      <c r="A108" s="5">
        <v>-1.9699783936016207E-3</v>
      </c>
      <c r="B108" s="5">
        <v>8.6850939448557263E-3</v>
      </c>
      <c r="C108" s="5">
        <v>3.3703708246815012E-3</v>
      </c>
    </row>
    <row r="109" spans="1:3" x14ac:dyDescent="0.5">
      <c r="A109" s="5">
        <v>3.3564859541852232E-3</v>
      </c>
      <c r="B109" s="5">
        <v>-2.6857584642487886E-3</v>
      </c>
      <c r="C109" s="5">
        <v>6.8557808482738736E-4</v>
      </c>
    </row>
    <row r="110" spans="1:3" x14ac:dyDescent="0.5">
      <c r="A110" s="5">
        <v>-7.5054988718245216E-4</v>
      </c>
      <c r="B110" s="5">
        <v>-3.1439312167265143E-3</v>
      </c>
      <c r="C110" s="5">
        <v>-4.8601925084943431E-3</v>
      </c>
    </row>
    <row r="111" spans="1:3" x14ac:dyDescent="0.5">
      <c r="A111" s="5">
        <v>1.8170678643607864E-3</v>
      </c>
      <c r="B111" s="5">
        <v>2.8320635508389813E-3</v>
      </c>
      <c r="C111" s="5">
        <v>5.1153284632015072E-3</v>
      </c>
    </row>
    <row r="112" spans="1:3" x14ac:dyDescent="0.5">
      <c r="A112" s="5">
        <v>5.7905342666155178E-3</v>
      </c>
      <c r="B112" s="5">
        <v>-2.664866927757803E-3</v>
      </c>
      <c r="C112" s="5">
        <v>-2.6769716622085937E-3</v>
      </c>
    </row>
    <row r="113" spans="1:3" x14ac:dyDescent="0.5">
      <c r="A113" s="5">
        <v>8.8069084079093612E-3</v>
      </c>
      <c r="B113" s="5">
        <v>-1.1078133023660897E-3</v>
      </c>
      <c r="C113" s="5">
        <v>-5.679081625866722E-3</v>
      </c>
    </row>
    <row r="114" spans="1:3" x14ac:dyDescent="0.5">
      <c r="A114" s="5">
        <v>9.8646981007118467E-3</v>
      </c>
      <c r="B114" s="5">
        <v>-2.4733666545503574E-2</v>
      </c>
      <c r="C114" s="5">
        <v>-2.6692320247127199E-2</v>
      </c>
    </row>
    <row r="115" spans="1:3" x14ac:dyDescent="0.5">
      <c r="A115" s="5">
        <v>1.9593445815840708E-3</v>
      </c>
      <c r="B115" s="5">
        <v>-5.3319969556415714E-3</v>
      </c>
      <c r="C115" s="5">
        <v>6.7667258005372766E-3</v>
      </c>
    </row>
    <row r="116" spans="1:3" x14ac:dyDescent="0.5">
      <c r="A116" s="5">
        <v>-2.8387169304049178E-3</v>
      </c>
      <c r="B116" s="5">
        <v>1.5015521173530999E-2</v>
      </c>
      <c r="C116" s="5">
        <v>9.9586478811555246E-3</v>
      </c>
    </row>
    <row r="117" spans="1:3" x14ac:dyDescent="0.5">
      <c r="A117" s="5">
        <v>8.0243818119416777E-3</v>
      </c>
      <c r="B117" s="5">
        <v>1.5942908226050712E-2</v>
      </c>
      <c r="C117" s="5">
        <v>-1.1756128053708181E-4</v>
      </c>
    </row>
    <row r="118" spans="1:3" x14ac:dyDescent="0.5">
      <c r="A118" s="5">
        <v>1.6352621002190391E-2</v>
      </c>
      <c r="B118" s="5">
        <v>-1.0729265425788004E-2</v>
      </c>
      <c r="C118" s="5">
        <v>-3.21827307945588E-3</v>
      </c>
    </row>
    <row r="119" spans="1:3" x14ac:dyDescent="0.5">
      <c r="A119" s="5">
        <v>1.8627522261068397E-2</v>
      </c>
      <c r="B119" s="5">
        <v>8.5181384974388763E-3</v>
      </c>
      <c r="C119" s="5">
        <v>1.2292832206157733E-3</v>
      </c>
    </row>
    <row r="120" spans="1:3" x14ac:dyDescent="0.5">
      <c r="A120" s="5">
        <v>2.0492789193091478E-2</v>
      </c>
      <c r="B120" s="5">
        <v>-1.4335935815723566E-2</v>
      </c>
      <c r="C120" s="5">
        <v>-1.0243758730940744E-2</v>
      </c>
    </row>
    <row r="121" spans="1:3" x14ac:dyDescent="0.5">
      <c r="A121" s="5">
        <v>1.5712573934981558E-2</v>
      </c>
      <c r="B121" s="5">
        <v>-1.8619100308031822E-2</v>
      </c>
      <c r="C121" s="5">
        <v>4.3783083417903157E-3</v>
      </c>
    </row>
    <row r="122" spans="1:3" x14ac:dyDescent="0.5">
      <c r="A122" s="5">
        <v>1.9118452886474763E-2</v>
      </c>
      <c r="B122" s="5">
        <v>1.5064225596739256E-3</v>
      </c>
      <c r="C122" s="5">
        <v>-3.4436918308067277E-6</v>
      </c>
    </row>
    <row r="123" spans="1:3" x14ac:dyDescent="0.5">
      <c r="A123" s="5">
        <v>1.6962337589200051E-2</v>
      </c>
      <c r="B123" s="5">
        <v>-6.7440088759682659E-3</v>
      </c>
      <c r="C123" s="5">
        <v>3.7671525686486795E-3</v>
      </c>
    </row>
    <row r="124" spans="1:3" x14ac:dyDescent="0.5">
      <c r="A124" s="5">
        <v>1.2986403929603388E-2</v>
      </c>
      <c r="B124" s="5">
        <v>-2.6326826704172746E-3</v>
      </c>
      <c r="C124" s="5">
        <v>1.433243078053037E-2</v>
      </c>
    </row>
    <row r="125" spans="1:3" x14ac:dyDescent="0.5">
      <c r="A125" s="5">
        <v>1.2247484878164086E-2</v>
      </c>
      <c r="B125" s="5">
        <v>1.0442868566988395E-2</v>
      </c>
      <c r="C125" s="5">
        <v>7.1895321636294973E-3</v>
      </c>
    </row>
    <row r="126" spans="1:3" x14ac:dyDescent="0.5">
      <c r="A126" s="5">
        <v>1.2888313331430989E-2</v>
      </c>
      <c r="B126" s="5">
        <v>1.9898439723411432E-2</v>
      </c>
      <c r="C126" s="5">
        <v>1.7556356387634864E-2</v>
      </c>
    </row>
    <row r="127" spans="1:3" x14ac:dyDescent="0.5">
      <c r="A127" s="5">
        <v>1.0418781108110769E-2</v>
      </c>
      <c r="B127" s="5">
        <v>1.6968085228971308E-2</v>
      </c>
      <c r="C127" s="5">
        <v>1.4948861089542298E-2</v>
      </c>
    </row>
    <row r="128" spans="1:3" x14ac:dyDescent="0.5">
      <c r="A128" s="5">
        <v>1.5303581030999568E-2</v>
      </c>
      <c r="B128" s="5">
        <v>1.7779414775141333E-2</v>
      </c>
      <c r="C128" s="5">
        <v>1.2942480120137656E-2</v>
      </c>
    </row>
    <row r="129" spans="1:3" x14ac:dyDescent="0.5">
      <c r="A129" s="5">
        <v>1.1916228224415387E-2</v>
      </c>
      <c r="B129" s="5">
        <v>1.5201049776878417E-2</v>
      </c>
      <c r="C129" s="5">
        <v>4.106418440975812E-3</v>
      </c>
    </row>
    <row r="130" spans="1:3" x14ac:dyDescent="0.5">
      <c r="A130" s="5">
        <v>1.4408560620687766E-2</v>
      </c>
      <c r="B130" s="5">
        <v>1.4594551019138979E-2</v>
      </c>
      <c r="C130" s="5">
        <v>1.1376979604239335E-2</v>
      </c>
    </row>
    <row r="131" spans="1:3" x14ac:dyDescent="0.5">
      <c r="A131" s="5">
        <v>1.5651282753456987E-2</v>
      </c>
      <c r="B131" s="5">
        <v>6.9289262015619357E-3</v>
      </c>
      <c r="C131" s="5">
        <v>4.7237683517207252E-3</v>
      </c>
    </row>
    <row r="132" spans="1:3" x14ac:dyDescent="0.5">
      <c r="A132" s="5">
        <v>1.8351700810367255E-2</v>
      </c>
      <c r="B132" s="5">
        <v>5.1379870745522638E-3</v>
      </c>
      <c r="C132" s="5">
        <v>9.8339924428847425E-3</v>
      </c>
    </row>
    <row r="133" spans="1:3" x14ac:dyDescent="0.5">
      <c r="A133" s="5">
        <v>1.216107414970689E-2</v>
      </c>
      <c r="B133" s="5">
        <v>7.4438197619457469E-3</v>
      </c>
      <c r="C133" s="5">
        <v>1.4647355373655468E-2</v>
      </c>
    </row>
    <row r="134" spans="1:3" x14ac:dyDescent="0.5">
      <c r="A134" s="5">
        <v>1.4036168526713109E-2</v>
      </c>
      <c r="B134" s="5">
        <v>6.3806114925792912E-3</v>
      </c>
      <c r="C134" s="5">
        <v>6.7532315845375557E-3</v>
      </c>
    </row>
    <row r="135" spans="1:3" x14ac:dyDescent="0.5">
      <c r="A135" s="5">
        <v>1.2630033363116799E-2</v>
      </c>
      <c r="B135" s="5">
        <v>1.2536306406990771E-2</v>
      </c>
      <c r="C135" s="5">
        <v>1.6195827893863868E-2</v>
      </c>
    </row>
    <row r="136" spans="1:3" x14ac:dyDescent="0.5">
      <c r="A136" s="5">
        <v>1.2200576990177972E-2</v>
      </c>
      <c r="B136" s="5">
        <v>4.4519367056290449E-3</v>
      </c>
      <c r="C136" s="5">
        <v>-7.9146723721867929E-4</v>
      </c>
    </row>
    <row r="137" spans="1:3" x14ac:dyDescent="0.5">
      <c r="A137" s="5">
        <v>1.2963562487973621E-2</v>
      </c>
      <c r="B137" s="5">
        <v>4.3661383694360012E-3</v>
      </c>
      <c r="C137" s="5">
        <v>3.7761854025828434E-3</v>
      </c>
    </row>
    <row r="138" spans="1:3" x14ac:dyDescent="0.5">
      <c r="A138" s="5">
        <v>1.3472499697229759E-2</v>
      </c>
      <c r="B138" s="5">
        <v>1.7384153258674928E-3</v>
      </c>
      <c r="C138" s="5">
        <v>8.0823454925007532E-3</v>
      </c>
    </row>
    <row r="139" spans="1:3" x14ac:dyDescent="0.5">
      <c r="A139" s="5">
        <v>1.1259304474091427E-2</v>
      </c>
      <c r="B139" s="5">
        <v>6.6692622445758687E-3</v>
      </c>
      <c r="C139" s="5">
        <v>1.467762565301145E-2</v>
      </c>
    </row>
    <row r="140" spans="1:3" x14ac:dyDescent="0.5">
      <c r="A140" s="5">
        <v>8.3652561991957794E-3</v>
      </c>
      <c r="B140" s="5">
        <v>2.4285620543520459E-3</v>
      </c>
      <c r="C140" s="5">
        <v>3.1824574884140588E-3</v>
      </c>
    </row>
    <row r="141" spans="1:3" x14ac:dyDescent="0.5">
      <c r="A141" s="5">
        <v>6.9986205560629029E-3</v>
      </c>
      <c r="B141" s="5">
        <v>3.8904617206649839E-3</v>
      </c>
      <c r="C141" s="5">
        <v>-2.5555102711014577E-3</v>
      </c>
    </row>
    <row r="142" spans="1:3" x14ac:dyDescent="0.5">
      <c r="A142" s="5">
        <v>6.9468813678244794E-3</v>
      </c>
      <c r="B142" s="5">
        <v>7.8381418027282379E-3</v>
      </c>
      <c r="C142" s="5">
        <v>1.0657768899482889E-2</v>
      </c>
    </row>
    <row r="143" spans="1:3" x14ac:dyDescent="0.5">
      <c r="A143" s="5">
        <v>6.5999523679779511E-3</v>
      </c>
      <c r="B143" s="5">
        <v>5.9589229048064851E-3</v>
      </c>
      <c r="C143" s="5">
        <v>8.6665229700497726E-3</v>
      </c>
    </row>
    <row r="144" spans="1:3" x14ac:dyDescent="0.5">
      <c r="A144" s="5">
        <v>7.1598176029296062E-3</v>
      </c>
      <c r="B144" s="5">
        <v>1.4562603236200733E-2</v>
      </c>
      <c r="C144" s="5">
        <v>-3.4897379007414742E-4</v>
      </c>
    </row>
    <row r="145" spans="1:3" x14ac:dyDescent="0.5">
      <c r="A145" s="5">
        <v>6.8462216458988253E-3</v>
      </c>
      <c r="B145" s="5">
        <v>2.4339339924375203E-3</v>
      </c>
      <c r="C145" s="5">
        <v>1.4793102224474275E-2</v>
      </c>
    </row>
    <row r="146" spans="1:3" x14ac:dyDescent="0.5">
      <c r="A146" s="5">
        <v>4.6164294523958413E-3</v>
      </c>
      <c r="B146" s="5">
        <v>1.0763474958908947E-2</v>
      </c>
      <c r="C146" s="5">
        <v>5.0669883628815526E-3</v>
      </c>
    </row>
    <row r="147" spans="1:3" x14ac:dyDescent="0.5">
      <c r="A147" s="5">
        <v>3.6367608114546875E-3</v>
      </c>
      <c r="B147" s="5">
        <v>3.3996656174806184E-3</v>
      </c>
      <c r="C147" s="5">
        <v>6.4049633780065562E-3</v>
      </c>
    </row>
    <row r="148" spans="1:3" x14ac:dyDescent="0.5">
      <c r="A148" s="5">
        <v>8.9245763443033116E-3</v>
      </c>
      <c r="B148" s="5">
        <v>1.1004696999046271E-2</v>
      </c>
      <c r="C148" s="5">
        <v>9.0742491558244431E-3</v>
      </c>
    </row>
    <row r="149" spans="1:3" x14ac:dyDescent="0.5">
      <c r="A149" s="5">
        <v>8.9522395104634986E-3</v>
      </c>
      <c r="B149" s="5">
        <v>7.3096040288929132E-3</v>
      </c>
      <c r="C149" s="5">
        <v>1.8247899442793702E-3</v>
      </c>
    </row>
    <row r="150" spans="1:3" x14ac:dyDescent="0.5">
      <c r="A150" s="5">
        <v>1.0750346963705599E-2</v>
      </c>
      <c r="B150" s="5">
        <v>5.4243207364792489E-3</v>
      </c>
      <c r="C150" s="5">
        <v>2.4785106903970622E-3</v>
      </c>
    </row>
    <row r="151" spans="1:3" x14ac:dyDescent="0.5">
      <c r="A151" s="5">
        <v>1.3753384816262024E-2</v>
      </c>
      <c r="B151" s="5">
        <v>5.1052553859118888E-3</v>
      </c>
      <c r="C151" s="5">
        <v>7.359347612050815E-3</v>
      </c>
    </row>
    <row r="152" spans="1:3" x14ac:dyDescent="0.5">
      <c r="A152" s="5">
        <v>1.2501925197925194E-2</v>
      </c>
      <c r="B152" s="5">
        <v>-2.589894163231854E-4</v>
      </c>
      <c r="C152" s="5">
        <v>2.1098308352014428E-3</v>
      </c>
    </row>
    <row r="153" spans="1:3" x14ac:dyDescent="0.5">
      <c r="A153" s="5">
        <v>8.3918136080429161E-3</v>
      </c>
      <c r="B153" s="5">
        <v>2.8702993132632137E-3</v>
      </c>
      <c r="C153" s="5">
        <v>3.8158354725359445E-4</v>
      </c>
    </row>
    <row r="154" spans="1:3" x14ac:dyDescent="0.5">
      <c r="A154" s="5">
        <v>8.2561647157372298E-3</v>
      </c>
      <c r="B154" s="5">
        <v>1.524759071876769E-3</v>
      </c>
      <c r="C154" s="5">
        <v>9.4330312098067637E-4</v>
      </c>
    </row>
    <row r="155" spans="1:3" x14ac:dyDescent="0.5">
      <c r="A155" s="5">
        <v>1.0850402402442363E-2</v>
      </c>
      <c r="B155" s="5">
        <v>-1.6449308419166364E-3</v>
      </c>
      <c r="C155" s="5">
        <v>1.6433325231464124E-3</v>
      </c>
    </row>
    <row r="156" spans="1:3" x14ac:dyDescent="0.5">
      <c r="A156" s="5">
        <v>1.1279311793444498E-2</v>
      </c>
      <c r="B156" s="5">
        <v>-1.1851302937582187E-2</v>
      </c>
      <c r="C156" s="5">
        <v>-1.0342146067921831E-2</v>
      </c>
    </row>
    <row r="157" spans="1:3" x14ac:dyDescent="0.5">
      <c r="A157" s="5">
        <v>7.7315966005365548E-3</v>
      </c>
      <c r="B157" s="5">
        <v>-6.8264563366025044E-3</v>
      </c>
      <c r="C157" s="5">
        <v>-5.9035009327499388E-3</v>
      </c>
    </row>
    <row r="158" spans="1:3" x14ac:dyDescent="0.5">
      <c r="A158" s="5">
        <v>7.7387648625797303E-3</v>
      </c>
      <c r="B158" s="5">
        <v>5.750522178877393E-3</v>
      </c>
      <c r="C158" s="5">
        <v>6.2372721948538157E-3</v>
      </c>
    </row>
    <row r="159" spans="1:3" x14ac:dyDescent="0.5">
      <c r="A159" s="5">
        <v>6.105677435210375E-3</v>
      </c>
      <c r="B159" s="5">
        <v>2.6048821255812982E-3</v>
      </c>
      <c r="C159" s="5">
        <v>2.5374502302937252E-3</v>
      </c>
    </row>
    <row r="160" spans="1:3" x14ac:dyDescent="0.5">
      <c r="A160" s="5">
        <v>7.5389080254837752E-3</v>
      </c>
      <c r="B160" s="5">
        <v>7.1011400876841435E-4</v>
      </c>
      <c r="C160" s="5">
        <v>-3.2697487399313552E-3</v>
      </c>
    </row>
    <row r="161" spans="1:3" x14ac:dyDescent="0.5">
      <c r="A161" s="5">
        <v>7.6430686365663043E-3</v>
      </c>
      <c r="B161" s="5">
        <v>9.6915073257091144E-3</v>
      </c>
      <c r="C161" s="5">
        <v>1.6340388866270761E-2</v>
      </c>
    </row>
    <row r="162" spans="1:3" x14ac:dyDescent="0.5">
      <c r="A162" s="5">
        <v>3.7263934452069943E-3</v>
      </c>
      <c r="B162" s="5">
        <v>8.5380726433479381E-3</v>
      </c>
      <c r="C162" s="5">
        <v>4.5187865891120893E-3</v>
      </c>
    </row>
    <row r="163" spans="1:3" x14ac:dyDescent="0.5">
      <c r="A163" s="5">
        <v>4.318673309130841E-3</v>
      </c>
      <c r="B163" s="5">
        <v>7.1505861964245021E-3</v>
      </c>
      <c r="C163" s="5">
        <v>7.980117418025845E-3</v>
      </c>
    </row>
    <row r="164" spans="1:3" x14ac:dyDescent="0.5">
      <c r="A164" s="5">
        <v>8.4902882015143628E-4</v>
      </c>
      <c r="B164" s="5">
        <v>7.3122711730002621E-3</v>
      </c>
      <c r="C164" s="5">
        <v>8.7860338685858963E-3</v>
      </c>
    </row>
    <row r="165" spans="1:3" x14ac:dyDescent="0.5">
      <c r="A165" s="5">
        <v>2.0800728354731911E-3</v>
      </c>
      <c r="B165" s="5">
        <v>-8.5954028052670495E-4</v>
      </c>
      <c r="C165" s="5">
        <v>1.2990645633430553E-3</v>
      </c>
    </row>
    <row r="166" spans="1:3" x14ac:dyDescent="0.5">
      <c r="A166" s="5">
        <v>1.4611726574513088E-3</v>
      </c>
      <c r="B166" s="5">
        <v>3.4943309372894582E-3</v>
      </c>
      <c r="C166" s="5">
        <v>6.7443652738909954E-3</v>
      </c>
    </row>
    <row r="167" spans="1:3" x14ac:dyDescent="0.5">
      <c r="A167" s="5">
        <v>1.5057029995415435E-3</v>
      </c>
      <c r="B167" s="5">
        <v>2.1268841846886488E-3</v>
      </c>
      <c r="C167" s="5">
        <v>8.4344402438780719E-3</v>
      </c>
    </row>
    <row r="168" spans="1:3" x14ac:dyDescent="0.5">
      <c r="A168" s="5">
        <v>2.0633941601927927E-3</v>
      </c>
      <c r="B168" s="5">
        <v>1.06789249435435E-2</v>
      </c>
      <c r="C168" s="5">
        <v>5.9090908745358384E-3</v>
      </c>
    </row>
    <row r="169" spans="1:3" x14ac:dyDescent="0.5">
      <c r="A169" s="5">
        <v>2.8728963133924472E-3</v>
      </c>
      <c r="B169" s="5">
        <v>7.2877271428675172E-3</v>
      </c>
      <c r="C169" s="5">
        <v>9.0036997273514885E-3</v>
      </c>
    </row>
    <row r="170" spans="1:3" x14ac:dyDescent="0.5">
      <c r="A170" s="5">
        <v>3.2844090667494327E-3</v>
      </c>
      <c r="B170" s="5">
        <v>1.1234675936206528E-2</v>
      </c>
      <c r="C170" s="5">
        <v>5.5243048399140626E-3</v>
      </c>
    </row>
    <row r="171" spans="1:3" x14ac:dyDescent="0.5">
      <c r="A171" s="5">
        <v>4.2541169609970238E-3</v>
      </c>
      <c r="B171" s="5">
        <v>3.1457055882686547E-3</v>
      </c>
      <c r="C171" s="5">
        <v>4.9128558696174274E-3</v>
      </c>
    </row>
    <row r="172" spans="1:3" x14ac:dyDescent="0.5">
      <c r="A172" s="5">
        <v>5.7990917792517666E-3</v>
      </c>
      <c r="B172" s="5">
        <v>8.5982394780934612E-3</v>
      </c>
      <c r="C172" s="5">
        <v>7.9609777072793264E-3</v>
      </c>
    </row>
    <row r="173" spans="1:3" x14ac:dyDescent="0.5">
      <c r="A173" s="5">
        <v>7.7829585743055645E-3</v>
      </c>
      <c r="B173" s="5">
        <v>2.1204790464510737E-3</v>
      </c>
      <c r="C173" s="5">
        <v>1.0648112508109264E-3</v>
      </c>
    </row>
    <row r="174" spans="1:3" x14ac:dyDescent="0.5">
      <c r="A174" s="5">
        <v>9.5610279806243297E-3</v>
      </c>
      <c r="B174" s="5">
        <v>8.8881704424359498E-4</v>
      </c>
      <c r="C174" s="5">
        <v>6.6384856722967456E-3</v>
      </c>
    </row>
    <row r="175" spans="1:3" x14ac:dyDescent="0.5">
      <c r="A175" s="5">
        <v>9.0848105659719763E-3</v>
      </c>
      <c r="B175" s="5">
        <v>5.897631255443514E-3</v>
      </c>
      <c r="C175" s="5">
        <v>6.4479434857940277E-3</v>
      </c>
    </row>
    <row r="176" spans="1:3" x14ac:dyDescent="0.5">
      <c r="A176" s="5">
        <v>8.6228379798465107E-3</v>
      </c>
      <c r="B176" s="5">
        <v>4.0302652341015488E-3</v>
      </c>
      <c r="C176" s="5">
        <v>4.2137672289013217E-3</v>
      </c>
    </row>
    <row r="177" spans="1:3" x14ac:dyDescent="0.5">
      <c r="A177" s="5">
        <v>8.3560276611911507E-3</v>
      </c>
      <c r="B177" s="5">
        <v>5.3379542346725373E-3</v>
      </c>
      <c r="C177" s="5">
        <v>7.0558674665184284E-3</v>
      </c>
    </row>
    <row r="178" spans="1:3" x14ac:dyDescent="0.5">
      <c r="A178" s="5">
        <v>8.1857932064316151E-3</v>
      </c>
      <c r="B178" s="5">
        <v>1.4027211248748728E-2</v>
      </c>
      <c r="C178" s="5">
        <v>8.1857136007053022E-3</v>
      </c>
    </row>
    <row r="179" spans="1:3" x14ac:dyDescent="0.5">
      <c r="A179" s="5">
        <v>9.2772991577855721E-3</v>
      </c>
      <c r="B179" s="5">
        <v>6.0833765669148221E-3</v>
      </c>
      <c r="C179" s="5">
        <v>3.1888488637830115E-3</v>
      </c>
    </row>
    <row r="180" spans="1:3" x14ac:dyDescent="0.5">
      <c r="A180" s="5">
        <v>7.4309162507852512E-3</v>
      </c>
      <c r="B180" s="5">
        <v>7.3125567445586626E-3</v>
      </c>
      <c r="C180" s="5">
        <v>4.9160345912580006E-3</v>
      </c>
    </row>
    <row r="181" spans="1:3" x14ac:dyDescent="0.5">
      <c r="A181" s="5">
        <v>6.4924119053776774E-3</v>
      </c>
      <c r="B181" s="5">
        <v>1.7834760760040425E-3</v>
      </c>
      <c r="C181" s="5">
        <v>5.8355511459113885E-3</v>
      </c>
    </row>
    <row r="182" spans="1:3" x14ac:dyDescent="0.5">
      <c r="A182" s="5">
        <v>1.0667178969287322E-2</v>
      </c>
      <c r="B182" s="5">
        <v>1.434838472226474E-2</v>
      </c>
      <c r="C182" s="5">
        <v>2.3251072260230821E-3</v>
      </c>
    </row>
    <row r="183" spans="1:3" x14ac:dyDescent="0.5">
      <c r="A183" s="5">
        <v>8.2679460885871654E-3</v>
      </c>
      <c r="B183" s="5">
        <v>9.7889984080454795E-3</v>
      </c>
      <c r="C183" s="5">
        <v>1.4274630246887909E-2</v>
      </c>
    </row>
    <row r="184" spans="1:3" x14ac:dyDescent="0.5">
      <c r="A184" s="5">
        <v>9.3050535764939175E-3</v>
      </c>
      <c r="B184" s="5">
        <v>5.713267992562443E-3</v>
      </c>
      <c r="C184" s="5">
        <v>9.0921304097091316E-3</v>
      </c>
    </row>
    <row r="185" spans="1:3" x14ac:dyDescent="0.5">
      <c r="A185" s="5">
        <v>1.1305532993672776E-2</v>
      </c>
      <c r="B185" s="5">
        <v>7.7344093162512451E-3</v>
      </c>
      <c r="C185" s="5">
        <v>7.8113788426472652E-3</v>
      </c>
    </row>
    <row r="186" spans="1:3" x14ac:dyDescent="0.5">
      <c r="A186" s="5">
        <v>1.0263690022152551E-2</v>
      </c>
      <c r="B186" s="5">
        <v>6.7222355782305954E-3</v>
      </c>
      <c r="C186" s="5">
        <v>1.4963916825077916E-2</v>
      </c>
    </row>
    <row r="187" spans="1:3" x14ac:dyDescent="0.5">
      <c r="A187" s="5">
        <v>8.2278761077209505E-3</v>
      </c>
      <c r="B187" s="5">
        <v>9.6939667178954636E-3</v>
      </c>
      <c r="C187" s="5">
        <v>1.0139299505959709E-2</v>
      </c>
    </row>
    <row r="188" spans="1:3" x14ac:dyDescent="0.5">
      <c r="A188" s="5">
        <v>9.2356592277843489E-3</v>
      </c>
      <c r="B188" s="5">
        <v>1.2975384121923561E-2</v>
      </c>
      <c r="C188" s="5">
        <v>1.135504160049905E-2</v>
      </c>
    </row>
    <row r="189" spans="1:3" x14ac:dyDescent="0.5">
      <c r="A189" s="5">
        <v>7.3798772315426583E-3</v>
      </c>
      <c r="B189" s="5">
        <v>5.5826889931021029E-3</v>
      </c>
      <c r="C189" s="5">
        <v>6.4506610918506624E-3</v>
      </c>
    </row>
    <row r="190" spans="1:3" x14ac:dyDescent="0.5">
      <c r="A190" s="5">
        <v>7.2546345249512798E-3</v>
      </c>
      <c r="B190" s="5">
        <v>5.6287866876258974E-3</v>
      </c>
      <c r="C190" s="5">
        <v>1.2513967027066641E-2</v>
      </c>
    </row>
    <row r="191" spans="1:3" x14ac:dyDescent="0.5">
      <c r="A191" s="5">
        <v>7.5934906560954415E-3</v>
      </c>
      <c r="B191" s="5">
        <v>1.0225682612476028E-2</v>
      </c>
      <c r="C191" s="5">
        <v>8.2333800988774186E-3</v>
      </c>
    </row>
    <row r="192" spans="1:3" x14ac:dyDescent="0.5">
      <c r="A192" s="5">
        <v>6.0925792919603924E-3</v>
      </c>
      <c r="B192" s="5">
        <v>1.3316998422994608E-2</v>
      </c>
      <c r="C192" s="5">
        <v>1.1564631158895722E-2</v>
      </c>
    </row>
    <row r="193" spans="1:3" x14ac:dyDescent="0.5">
      <c r="A193" s="5">
        <v>5.9734948869643589E-3</v>
      </c>
      <c r="B193" s="5">
        <v>-1.0304033176542049E-2</v>
      </c>
      <c r="C193" s="5">
        <v>1.0819823537158157E-3</v>
      </c>
    </row>
    <row r="194" spans="1:3" x14ac:dyDescent="0.5">
      <c r="A194" s="5">
        <v>7.5893583523544902E-3</v>
      </c>
      <c r="B194" s="5">
        <v>1.4953412489926876E-2</v>
      </c>
      <c r="C194" s="5">
        <v>6.1986209918254431E-3</v>
      </c>
    </row>
    <row r="195" spans="1:3" x14ac:dyDescent="0.5">
      <c r="A195" s="5">
        <v>8.4453624155646674E-3</v>
      </c>
      <c r="B195" s="5">
        <v>-2.1658719106785185E-3</v>
      </c>
      <c r="C195" s="5">
        <v>6.350551806373339E-3</v>
      </c>
    </row>
    <row r="196" spans="1:3" x14ac:dyDescent="0.5">
      <c r="A196" s="5">
        <v>9.6767670367925353E-3</v>
      </c>
      <c r="B196" s="5">
        <v>2.9466238467694694E-3</v>
      </c>
      <c r="C196" s="5">
        <v>5.6929898643698351E-3</v>
      </c>
    </row>
    <row r="197" spans="1:3" x14ac:dyDescent="0.5">
      <c r="A197" s="5">
        <v>8.4584662707016724E-3</v>
      </c>
      <c r="B197" s="5">
        <v>-5.8134151165054604E-3</v>
      </c>
      <c r="C197" s="5">
        <v>1.090259946114891E-3</v>
      </c>
    </row>
    <row r="198" spans="1:3" x14ac:dyDescent="0.5">
      <c r="A198" s="5">
        <v>6.0535474795454462E-3</v>
      </c>
      <c r="B198" s="5">
        <v>3.2641095586694036E-3</v>
      </c>
      <c r="C198" s="5">
        <v>-9.5456211654898482E-4</v>
      </c>
    </row>
    <row r="199" spans="1:3" x14ac:dyDescent="0.5">
      <c r="A199" s="5">
        <v>5.2258967008160882E-3</v>
      </c>
      <c r="B199" s="5">
        <v>-7.2039674549193577E-3</v>
      </c>
      <c r="C199" s="5">
        <v>2.8423723648662857E-4</v>
      </c>
    </row>
    <row r="200" spans="1:3" x14ac:dyDescent="0.5">
      <c r="A200" s="5">
        <v>4.7914185942159859E-3</v>
      </c>
      <c r="B200" s="5">
        <v>-4.5391044749898413E-4</v>
      </c>
      <c r="C200" s="5">
        <v>1.2808428485385104E-2</v>
      </c>
    </row>
    <row r="201" spans="1:3" x14ac:dyDescent="0.5">
      <c r="A201" s="5">
        <v>1.6378786371560577E-3</v>
      </c>
      <c r="B201" s="5">
        <v>5.777830933779704E-3</v>
      </c>
      <c r="C201" s="5">
        <v>-3.2702965948239182E-4</v>
      </c>
    </row>
    <row r="202" spans="1:3" x14ac:dyDescent="0.5">
      <c r="A202" s="5">
        <v>8.1400695439118494E-4</v>
      </c>
      <c r="B202" s="5">
        <v>3.6191340505302705E-3</v>
      </c>
      <c r="C202" s="5">
        <v>2.5562791301321219E-3</v>
      </c>
    </row>
    <row r="203" spans="1:3" x14ac:dyDescent="0.5">
      <c r="A203" s="5">
        <v>-5.0839843689834494E-4</v>
      </c>
      <c r="B203" s="5">
        <v>1.0045033338466069E-3</v>
      </c>
      <c r="C203" s="5">
        <v>3.9215109994810149E-3</v>
      </c>
    </row>
    <row r="204" spans="1:3" x14ac:dyDescent="0.5">
      <c r="A204" s="5">
        <v>-1.686267536254997E-3</v>
      </c>
      <c r="B204" s="5">
        <v>-1.8581294584878449E-3</v>
      </c>
      <c r="C204" s="5">
        <v>2.4532071413152501E-3</v>
      </c>
    </row>
    <row r="205" spans="1:3" x14ac:dyDescent="0.5">
      <c r="A205" s="5">
        <v>-1.5520991460989063E-3</v>
      </c>
      <c r="B205" s="5">
        <v>-1.8874859224293772E-3</v>
      </c>
      <c r="C205" s="5">
        <v>-2.2265419700566724E-3</v>
      </c>
    </row>
    <row r="206" spans="1:3" x14ac:dyDescent="0.5">
      <c r="A206" s="5">
        <v>-6.1195927285452589E-4</v>
      </c>
      <c r="B206" s="5">
        <v>5.8005548073571944E-3</v>
      </c>
      <c r="C206" s="5">
        <v>8.368091743688133E-3</v>
      </c>
    </row>
    <row r="207" spans="1:3" x14ac:dyDescent="0.5">
      <c r="A207" s="5">
        <v>-3.105055792452285E-3</v>
      </c>
      <c r="B207" s="5">
        <v>1.3153477924315204E-2</v>
      </c>
      <c r="C207" s="5">
        <v>1.069912126175776E-2</v>
      </c>
    </row>
    <row r="208" spans="1:3" x14ac:dyDescent="0.5">
      <c r="A208" s="5">
        <v>-3.7470562770519846E-3</v>
      </c>
      <c r="B208" s="5">
        <v>8.1017926266930829E-3</v>
      </c>
      <c r="C208" s="5">
        <v>3.4223593200084501E-3</v>
      </c>
    </row>
    <row r="209" spans="1:3" x14ac:dyDescent="0.5">
      <c r="A209" s="5">
        <v>-4.8102512190677203E-3</v>
      </c>
      <c r="B209" s="5">
        <v>5.2906720909353666E-3</v>
      </c>
      <c r="C209" s="5">
        <v>8.9206525269220904E-3</v>
      </c>
    </row>
    <row r="210" spans="1:3" x14ac:dyDescent="0.5">
      <c r="A210" s="5">
        <v>-5.7373895420278175E-3</v>
      </c>
      <c r="B210" s="5">
        <v>4.9486630988786473E-3</v>
      </c>
      <c r="C210" s="5">
        <v>2.6706417446766828E-3</v>
      </c>
    </row>
    <row r="211" spans="1:3" x14ac:dyDescent="0.5">
      <c r="A211" s="5">
        <v>-3.6232120034095728E-3</v>
      </c>
      <c r="B211" s="5">
        <v>6.2754587363418324E-3</v>
      </c>
      <c r="C211" s="5">
        <v>8.5119531221660161E-3</v>
      </c>
    </row>
    <row r="212" spans="1:3" x14ac:dyDescent="0.5">
      <c r="A212" s="5">
        <v>-3.9981127993142579E-3</v>
      </c>
      <c r="B212" s="5">
        <v>6.8564660312580017E-3</v>
      </c>
      <c r="C212" s="5">
        <v>7.9536502018870969E-3</v>
      </c>
    </row>
    <row r="213" spans="1:3" x14ac:dyDescent="0.5">
      <c r="A213" s="5">
        <v>-2.936815577677279E-3</v>
      </c>
      <c r="B213" s="5">
        <v>8.2736580313698127E-3</v>
      </c>
      <c r="C213" s="5">
        <v>3.5751644088688472E-3</v>
      </c>
    </row>
    <row r="214" spans="1:3" x14ac:dyDescent="0.5">
      <c r="A214" s="5">
        <v>-8.2221257227951296E-4</v>
      </c>
      <c r="B214" s="5">
        <v>2.0919471184015492E-3</v>
      </c>
      <c r="C214" s="5">
        <v>8.1988085025659352E-3</v>
      </c>
    </row>
    <row r="215" spans="1:3" x14ac:dyDescent="0.5">
      <c r="A215" s="5">
        <v>-1.9266985635761798E-3</v>
      </c>
      <c r="B215" s="5">
        <v>4.4985469716412041E-3</v>
      </c>
      <c r="C215" s="5">
        <v>4.9536548729300911E-3</v>
      </c>
    </row>
    <row r="216" spans="1:3" x14ac:dyDescent="0.5">
      <c r="A216" s="5">
        <v>2.1604124425426453E-4</v>
      </c>
      <c r="B216" s="5">
        <v>2.1272260667641874E-3</v>
      </c>
      <c r="C216" s="5">
        <v>-1.5710436967433239E-3</v>
      </c>
    </row>
    <row r="217" spans="1:3" x14ac:dyDescent="0.5">
      <c r="A217" s="5">
        <v>2.5151675073084023E-3</v>
      </c>
      <c r="B217" s="5">
        <v>1.0867214344029819E-2</v>
      </c>
      <c r="C217" s="5">
        <v>8.3486095742766331E-3</v>
      </c>
    </row>
    <row r="218" spans="1:3" x14ac:dyDescent="0.5">
      <c r="A218" s="5">
        <v>2.2823124493267927E-3</v>
      </c>
      <c r="B218" s="5">
        <v>-3.4875979686788128E-4</v>
      </c>
      <c r="C218" s="5">
        <v>2.2381335684587E-3</v>
      </c>
    </row>
    <row r="219" spans="1:3" x14ac:dyDescent="0.5">
      <c r="A219" s="5">
        <v>4.7882849215462216E-3</v>
      </c>
      <c r="B219" s="5">
        <v>-1.70524502973457E-3</v>
      </c>
      <c r="C219" s="5">
        <v>3.1974718329230711E-3</v>
      </c>
    </row>
    <row r="220" spans="1:3" x14ac:dyDescent="0.5">
      <c r="A220" s="5">
        <v>8.7060577936803538E-3</v>
      </c>
      <c r="B220" s="5">
        <v>5.377374594193185E-3</v>
      </c>
      <c r="C220" s="5">
        <v>6.3134812544021202E-3</v>
      </c>
    </row>
    <row r="221" spans="1:3" x14ac:dyDescent="0.5">
      <c r="A221" s="5">
        <v>2.7868366164850618E-3</v>
      </c>
      <c r="B221" s="5">
        <v>-1.0896244626996676E-3</v>
      </c>
      <c r="C221" s="5">
        <v>2.0552412603898063E-3</v>
      </c>
    </row>
    <row r="222" spans="1:3" x14ac:dyDescent="0.5">
      <c r="A222" s="5">
        <v>5.5211758525649923E-3</v>
      </c>
      <c r="B222" s="5">
        <v>3.3173640196011434E-3</v>
      </c>
      <c r="C222" s="5">
        <v>-1.6096991509995107E-4</v>
      </c>
    </row>
    <row r="223" spans="1:3" x14ac:dyDescent="0.5">
      <c r="A223" s="5">
        <v>6.3990076991072582E-3</v>
      </c>
      <c r="B223" s="5">
        <v>2.6037131743166242E-3</v>
      </c>
      <c r="C223" s="5">
        <v>3.5087660745372062E-3</v>
      </c>
    </row>
    <row r="224" spans="1:3" x14ac:dyDescent="0.5">
      <c r="A224" s="5">
        <v>6.7070308047496204E-3</v>
      </c>
      <c r="B224" s="5">
        <v>3.1368194321466092E-3</v>
      </c>
      <c r="C224" s="5">
        <v>8.0710160399721786E-4</v>
      </c>
    </row>
    <row r="225" spans="1:3" x14ac:dyDescent="0.5">
      <c r="A225" s="5">
        <v>4.7803862555986128E-3</v>
      </c>
      <c r="B225" s="5">
        <v>-3.7185289851322523E-3</v>
      </c>
      <c r="C225" s="5">
        <v>-8.13861789506376E-4</v>
      </c>
    </row>
    <row r="226" spans="1:3" x14ac:dyDescent="0.5">
      <c r="A226" s="5">
        <v>2.6716853401199253E-4</v>
      </c>
      <c r="B226" s="5">
        <v>3.3498462289696107E-3</v>
      </c>
      <c r="C226" s="5">
        <v>1.6507446491198507E-4</v>
      </c>
    </row>
    <row r="227" spans="1:3" x14ac:dyDescent="0.5">
      <c r="A227" s="5">
        <v>-3.4305565046229237E-3</v>
      </c>
      <c r="B227" s="5">
        <v>-8.26095033891594E-3</v>
      </c>
      <c r="C227" s="5">
        <v>-1.0731652946294634E-2</v>
      </c>
    </row>
    <row r="228" spans="1:3" x14ac:dyDescent="0.5">
      <c r="A228" s="5">
        <v>1.3070836524151858E-3</v>
      </c>
      <c r="B228" s="5">
        <v>-2.5182878247838048E-2</v>
      </c>
      <c r="C228" s="5">
        <v>-1.208965239432791E-2</v>
      </c>
    </row>
    <row r="229" spans="1:3" x14ac:dyDescent="0.5">
      <c r="A229" s="5">
        <v>1.5402639892867214E-3</v>
      </c>
      <c r="B229" s="5">
        <v>-1.178830831185973E-2</v>
      </c>
      <c r="C229" s="5">
        <v>-2.9173373103725808E-3</v>
      </c>
    </row>
    <row r="230" spans="1:3" x14ac:dyDescent="0.5">
      <c r="A230" s="5">
        <v>2.1865899696592605E-3</v>
      </c>
      <c r="B230" s="5">
        <v>-4.1096750202607168E-3</v>
      </c>
      <c r="C230" s="5">
        <v>-7.2495681957054359E-3</v>
      </c>
    </row>
    <row r="231" spans="1:3" x14ac:dyDescent="0.5">
      <c r="A231" s="5">
        <v>-7.6213163401551466E-4</v>
      </c>
      <c r="B231" s="5">
        <v>8.1677698441229296E-4</v>
      </c>
      <c r="C231" s="5">
        <v>4.0132777794452679E-3</v>
      </c>
    </row>
    <row r="232" spans="1:3" x14ac:dyDescent="0.5">
      <c r="A232" s="5">
        <v>-2.7588117555321203E-3</v>
      </c>
      <c r="B232" s="5">
        <v>8.0186621035709393E-3</v>
      </c>
      <c r="C232" s="5">
        <v>-3.8347618832110797E-3</v>
      </c>
    </row>
    <row r="233" spans="1:3" x14ac:dyDescent="0.5">
      <c r="A233" s="5">
        <v>-2.7181191877577561E-3</v>
      </c>
      <c r="B233" s="5">
        <v>3.7483153386785872E-3</v>
      </c>
      <c r="C233" s="5">
        <v>4.693689578586735E-3</v>
      </c>
    </row>
    <row r="234" spans="1:3" x14ac:dyDescent="0.5">
      <c r="A234" s="5">
        <v>-4.5987680994941356E-3</v>
      </c>
      <c r="B234" s="5">
        <v>7.4797268646973336E-3</v>
      </c>
      <c r="C234" s="5">
        <v>6.7780516497233378E-3</v>
      </c>
    </row>
    <row r="235" spans="1:3" x14ac:dyDescent="0.5">
      <c r="A235" s="5">
        <v>-2.6604794698368438E-3</v>
      </c>
      <c r="B235" s="5">
        <v>5.1666060027741878E-3</v>
      </c>
      <c r="C235" s="5">
        <v>4.5945090940646693E-3</v>
      </c>
    </row>
    <row r="236" spans="1:3" x14ac:dyDescent="0.5">
      <c r="A236" s="5">
        <v>-5.3886799384503361E-3</v>
      </c>
      <c r="B236" s="5">
        <v>2.6913014278564518E-3</v>
      </c>
      <c r="C236" s="5">
        <v>3.5644012490441135E-3</v>
      </c>
    </row>
    <row r="237" spans="1:3" x14ac:dyDescent="0.5">
      <c r="A237" s="5">
        <v>-4.7552655224417269E-3</v>
      </c>
      <c r="B237" s="5">
        <v>-2.9653647608016698E-3</v>
      </c>
      <c r="C237" s="5">
        <v>3.2222359791336252E-3</v>
      </c>
    </row>
    <row r="238" spans="1:3" x14ac:dyDescent="0.5">
      <c r="A238" s="5">
        <v>-6.2665471669972805E-3</v>
      </c>
      <c r="B238" s="5">
        <v>4.8022963666394247E-3</v>
      </c>
      <c r="C238" s="5">
        <v>-9.1231677378056375E-4</v>
      </c>
    </row>
    <row r="239" spans="1:3" x14ac:dyDescent="0.5">
      <c r="A239" s="5">
        <v>-5.8793193019234663E-3</v>
      </c>
      <c r="B239" s="5">
        <v>-2.539576733782134E-3</v>
      </c>
      <c r="C239" s="5">
        <v>7.2223781324520786E-4</v>
      </c>
    </row>
    <row r="240" spans="1:3" x14ac:dyDescent="0.5">
      <c r="A240" s="5">
        <v>-1.1356784502386476E-3</v>
      </c>
      <c r="B240" s="5">
        <v>8.8360295539695599E-3</v>
      </c>
      <c r="C240" s="5">
        <v>-6.0821127018506616E-4</v>
      </c>
    </row>
    <row r="241" spans="1:3" x14ac:dyDescent="0.5">
      <c r="A241" s="5">
        <v>-5.8283579944732851E-3</v>
      </c>
      <c r="B241" s="5">
        <v>4.6329893961249979E-5</v>
      </c>
      <c r="C241" s="5">
        <v>-1.1177878300161481E-3</v>
      </c>
    </row>
    <row r="242" spans="1:3" x14ac:dyDescent="0.5">
      <c r="A242" s="5">
        <v>-3.945114547452758E-3</v>
      </c>
      <c r="B242" s="5">
        <v>2.2614268595049225E-3</v>
      </c>
      <c r="C242" s="5">
        <v>-4.3724255884614038E-4</v>
      </c>
    </row>
    <row r="243" spans="1:3" x14ac:dyDescent="0.5">
      <c r="A243" s="5">
        <v>-5.2493487007611332E-3</v>
      </c>
      <c r="B243" s="5">
        <v>-1.0107504724023997E-3</v>
      </c>
      <c r="C243" s="5">
        <v>-4.2415075644797184E-4</v>
      </c>
    </row>
    <row r="244" spans="1:3" x14ac:dyDescent="0.5">
      <c r="A244" s="5">
        <v>-4.7472875243406987E-3</v>
      </c>
      <c r="B244" s="5">
        <v>-1.3251294122049728E-3</v>
      </c>
      <c r="C244" s="5">
        <v>1.4964454087627033E-3</v>
      </c>
    </row>
    <row r="245" spans="1:3" x14ac:dyDescent="0.5">
      <c r="A245" s="5">
        <v>-3.740074317792805E-3</v>
      </c>
      <c r="B245" s="5">
        <v>7.1178600828130101E-3</v>
      </c>
      <c r="C245" s="5">
        <v>3.7814252114851676E-3</v>
      </c>
    </row>
    <row r="246" spans="1:3" x14ac:dyDescent="0.5">
      <c r="A246" s="5">
        <v>-1.9263475410044337E-3</v>
      </c>
      <c r="B246" s="5">
        <v>4.9404927618112993E-4</v>
      </c>
      <c r="C246" s="5">
        <v>6.7498688079314917E-4</v>
      </c>
    </row>
    <row r="247" spans="1:3" x14ac:dyDescent="0.5">
      <c r="A247" s="5">
        <v>-4.764520526200286E-3</v>
      </c>
      <c r="B247" s="5">
        <v>6.0436564368568924E-3</v>
      </c>
      <c r="C247" s="5">
        <v>1.6230680157480748E-3</v>
      </c>
    </row>
    <row r="248" spans="1:3" x14ac:dyDescent="0.5">
      <c r="A248" s="5">
        <v>-5.199506580723148E-3</v>
      </c>
      <c r="B248" s="5">
        <v>6.2310323451271188E-3</v>
      </c>
      <c r="C248" s="5">
        <v>6.3197246811412811E-3</v>
      </c>
    </row>
    <row r="249" spans="1:3" x14ac:dyDescent="0.5">
      <c r="A249" s="5">
        <v>-3.6363381601761504E-3</v>
      </c>
      <c r="B249" s="5">
        <v>-5.5717876434675517E-3</v>
      </c>
      <c r="C249" s="5">
        <v>1.4763763898408833E-3</v>
      </c>
    </row>
    <row r="250" spans="1:3" x14ac:dyDescent="0.5">
      <c r="A250" s="5">
        <v>-5.5173805988607966E-3</v>
      </c>
      <c r="B250" s="5">
        <v>1.0656639376121824E-2</v>
      </c>
      <c r="C250" s="5">
        <v>7.3810543865073797E-3</v>
      </c>
    </row>
    <row r="251" spans="1:3" x14ac:dyDescent="0.5">
      <c r="A251" s="5">
        <v>-4.0274423523845495E-3</v>
      </c>
      <c r="B251" s="5">
        <v>9.6283321195196336E-3</v>
      </c>
      <c r="C251" s="5">
        <v>7.3830391630682612E-3</v>
      </c>
    </row>
    <row r="252" spans="1:3" x14ac:dyDescent="0.5">
      <c r="A252" s="5">
        <v>-9.1700206535332571E-4</v>
      </c>
      <c r="B252" s="5">
        <v>2.5902317267023633E-3</v>
      </c>
      <c r="C252" s="5">
        <v>9.003209919573596E-3</v>
      </c>
    </row>
    <row r="253" spans="1:3" x14ac:dyDescent="0.5">
      <c r="A253" s="5">
        <v>5.9754612894303281E-4</v>
      </c>
      <c r="B253" s="5">
        <v>4.7218839570906113E-3</v>
      </c>
      <c r="C253" s="5">
        <v>3.4007368832140727E-3</v>
      </c>
    </row>
    <row r="254" spans="1:3" x14ac:dyDescent="0.5">
      <c r="A254" s="5">
        <v>-5.6541984381926393E-3</v>
      </c>
      <c r="B254" s="5">
        <v>3.936566234643557E-3</v>
      </c>
      <c r="C254" s="5">
        <v>4.6208148833968288E-3</v>
      </c>
    </row>
    <row r="255" spans="1:3" x14ac:dyDescent="0.5">
      <c r="A255" s="5">
        <v>-2.5974044235031967E-3</v>
      </c>
      <c r="B255" s="5">
        <v>1.4503982186147013E-3</v>
      </c>
      <c r="C255" s="5">
        <v>4.4721776368872312E-3</v>
      </c>
    </row>
    <row r="256" spans="1:3" x14ac:dyDescent="0.5">
      <c r="A256" s="5">
        <v>1.204955832021625E-4</v>
      </c>
      <c r="B256" s="5">
        <v>-7.1040580228221017E-4</v>
      </c>
      <c r="C256" s="5">
        <v>1.5055284538778579E-3</v>
      </c>
    </row>
    <row r="257" spans="1:3" x14ac:dyDescent="0.5">
      <c r="A257" s="5">
        <v>1.1714508156195676E-3</v>
      </c>
      <c r="B257" s="5">
        <v>2.447258374523642E-3</v>
      </c>
      <c r="C257" s="5">
        <v>4.1899851848139491E-3</v>
      </c>
    </row>
    <row r="258" spans="1:3" x14ac:dyDescent="0.5">
      <c r="A258" s="5">
        <v>-6.0522613804999438E-3</v>
      </c>
      <c r="B258" s="5">
        <v>8.3738680583600456E-4</v>
      </c>
      <c r="C258" s="5">
        <v>2.5793017062496482E-3</v>
      </c>
    </row>
    <row r="259" spans="1:3" x14ac:dyDescent="0.5">
      <c r="A259" s="5">
        <v>-1.9038120091930239E-3</v>
      </c>
      <c r="B259" s="5">
        <v>4.4063195290977575E-3</v>
      </c>
      <c r="C259" s="5">
        <v>4.2695793521771996E-3</v>
      </c>
    </row>
    <row r="260" spans="1:3" x14ac:dyDescent="0.5">
      <c r="A260" s="5">
        <v>-4.0752465692044668E-3</v>
      </c>
      <c r="B260" s="5">
        <v>2.8565008045049467E-3</v>
      </c>
      <c r="C260" s="5">
        <v>2.4719334883478439E-3</v>
      </c>
    </row>
    <row r="261" spans="1:3" x14ac:dyDescent="0.5">
      <c r="A261" s="5">
        <v>-4.0088334998157824E-3</v>
      </c>
      <c r="B261" s="5">
        <v>5.9852742344048693E-3</v>
      </c>
      <c r="C261" s="5">
        <v>8.7874117863222523E-3</v>
      </c>
    </row>
    <row r="262" spans="1:3" x14ac:dyDescent="0.5">
      <c r="A262" s="5">
        <v>-1.1375416788893574E-3</v>
      </c>
      <c r="B262" s="5">
        <v>3.5242439980578411E-3</v>
      </c>
      <c r="C262" s="5">
        <v>2.8882711550899387E-3</v>
      </c>
    </row>
    <row r="263" spans="1:3" x14ac:dyDescent="0.5">
      <c r="A263" s="5">
        <v>-2.8998285447442754E-3</v>
      </c>
      <c r="B263" s="5">
        <v>5.556851648660377E-3</v>
      </c>
      <c r="C263" s="5">
        <v>4.4572870534409503E-3</v>
      </c>
    </row>
    <row r="264" spans="1:3" x14ac:dyDescent="0.5">
      <c r="A264" s="5">
        <v>-3.5312026446032065E-3</v>
      </c>
      <c r="B264" s="5">
        <v>8.9230446739678726E-3</v>
      </c>
      <c r="C264" s="5">
        <v>8.5850439464651984E-3</v>
      </c>
    </row>
    <row r="265" spans="1:3" x14ac:dyDescent="0.5">
      <c r="A265" s="5">
        <v>-3.3153724819437458E-3</v>
      </c>
      <c r="B265" s="5">
        <v>4.2172250590652993E-3</v>
      </c>
      <c r="C265" s="5">
        <v>3.3309852283589514E-3</v>
      </c>
    </row>
    <row r="266" spans="1:3" x14ac:dyDescent="0.5">
      <c r="A266" s="5">
        <v>-3.1448081879552757E-3</v>
      </c>
      <c r="B266" s="5">
        <v>3.2762992446375705E-3</v>
      </c>
      <c r="C266" s="5">
        <v>3.3219865116969061E-3</v>
      </c>
    </row>
    <row r="267" spans="1:3" x14ac:dyDescent="0.5">
      <c r="A267" s="5">
        <v>2.9152245153702544E-4</v>
      </c>
      <c r="B267" s="5">
        <v>3.8510703817244973E-3</v>
      </c>
      <c r="C267" s="5">
        <v>2.2317213209586129E-3</v>
      </c>
    </row>
    <row r="268" spans="1:3" x14ac:dyDescent="0.5">
      <c r="A268" s="5">
        <v>8.0029882922384027E-4</v>
      </c>
      <c r="B268" s="5">
        <v>-1.0498794250226595E-3</v>
      </c>
      <c r="C268" s="5">
        <v>6.5400032148676956E-4</v>
      </c>
    </row>
    <row r="269" spans="1:3" x14ac:dyDescent="0.5">
      <c r="A269" s="5">
        <v>2.8050426614243118E-3</v>
      </c>
      <c r="B269" s="5">
        <v>7.4382571328790448E-3</v>
      </c>
      <c r="C269" s="5">
        <v>2.7972506418065812E-3</v>
      </c>
    </row>
    <row r="270" spans="1:3" x14ac:dyDescent="0.5">
      <c r="A270" s="5">
        <v>8.202996533996287E-4</v>
      </c>
      <c r="B270" s="5">
        <v>6.4801520128057177E-3</v>
      </c>
      <c r="C270" s="5">
        <v>6.6583116885108318E-3</v>
      </c>
    </row>
    <row r="271" spans="1:3" x14ac:dyDescent="0.5">
      <c r="A271" s="5">
        <v>2.5777439824451135E-3</v>
      </c>
      <c r="B271" s="5">
        <v>9.4403039662624977E-3</v>
      </c>
      <c r="C271" s="5">
        <v>9.0962507299390261E-3</v>
      </c>
    </row>
    <row r="272" spans="1:3" x14ac:dyDescent="0.5">
      <c r="A272" s="5">
        <v>1.8451812074546832E-3</v>
      </c>
      <c r="B272" s="5">
        <v>4.5509401865979626E-3</v>
      </c>
      <c r="C272" s="5">
        <v>4.2934607959255189E-3</v>
      </c>
    </row>
    <row r="273" spans="1:3" x14ac:dyDescent="0.5">
      <c r="A273" s="5">
        <v>-9.7489589924360832E-4</v>
      </c>
      <c r="B273" s="5">
        <v>-1.1764986963258117E-2</v>
      </c>
      <c r="C273" s="5">
        <v>-1.5523435148393716E-2</v>
      </c>
    </row>
    <row r="274" spans="1:3" x14ac:dyDescent="0.5">
      <c r="A274" s="5">
        <v>6.7626797449531761E-3</v>
      </c>
      <c r="B274" s="5">
        <v>-8.365959192323924E-2</v>
      </c>
      <c r="C274" s="5">
        <v>-9.2127652516897029E-2</v>
      </c>
    </row>
    <row r="275" spans="1:3" x14ac:dyDescent="0.5">
      <c r="A275" s="5">
        <v>-8.7657987112753251E-3</v>
      </c>
      <c r="B275" s="5">
        <v>7.28020859965266E-2</v>
      </c>
      <c r="C275" s="5">
        <v>8.326053677033407E-2</v>
      </c>
    </row>
    <row r="276" spans="1:3" x14ac:dyDescent="0.5">
      <c r="A276" s="5">
        <v>-5.938370193790979E-3</v>
      </c>
      <c r="B276" s="5">
        <v>9.2700010532915655E-3</v>
      </c>
      <c r="C276" s="5">
        <v>1.1492219996620534E-2</v>
      </c>
    </row>
    <row r="277" spans="1:3" x14ac:dyDescent="0.5">
      <c r="A277" s="5">
        <v>-1.2431087888566426E-2</v>
      </c>
      <c r="B277" s="5">
        <v>1.4459343121908219E-2</v>
      </c>
      <c r="C277" s="5">
        <v>2.3073215667889002E-2</v>
      </c>
    </row>
    <row r="278" spans="1:3" x14ac:dyDescent="0.5">
      <c r="A278" s="5">
        <v>-1.5324415158900415E-2</v>
      </c>
      <c r="B278" s="5">
        <v>1.5753411210575941E-2</v>
      </c>
      <c r="C278" s="5">
        <v>3.3225846840904794E-2</v>
      </c>
    </row>
    <row r="279" spans="1:3" x14ac:dyDescent="0.5">
      <c r="A279" s="5">
        <v>-1.5184428862442803E-2</v>
      </c>
      <c r="B279" s="5">
        <v>6.694201264212829E-3</v>
      </c>
      <c r="C279" s="5">
        <v>6.7582489271638124E-3</v>
      </c>
    </row>
    <row r="280" spans="1:3" x14ac:dyDescent="0.5">
      <c r="A280" s="5">
        <v>-1.69364322473428E-2</v>
      </c>
      <c r="B280" s="5">
        <v>1.5449877859228245E-2</v>
      </c>
      <c r="C280" s="5">
        <v>8.0028622961831886E-3</v>
      </c>
    </row>
    <row r="281" spans="1:3" x14ac:dyDescent="0.5">
      <c r="A281" s="5">
        <v>-1.9869261799212154E-2</v>
      </c>
      <c r="B281" s="5">
        <v>-7.4965508104263279E-3</v>
      </c>
      <c r="C281" s="5">
        <v>-4.0185781385648767E-3</v>
      </c>
    </row>
    <row r="282" spans="1:3" x14ac:dyDescent="0.5">
      <c r="A282" s="5">
        <v>-2.1574698173977471E-2</v>
      </c>
      <c r="B282" s="5">
        <v>1.6769838357610922E-4</v>
      </c>
      <c r="C282" s="5">
        <v>6.7489983404014353E-3</v>
      </c>
    </row>
    <row r="283" spans="1:3" x14ac:dyDescent="0.5">
      <c r="A283" s="5">
        <v>-8.3070844655183454E-3</v>
      </c>
      <c r="B283" s="5">
        <v>5.3251963365674726E-3</v>
      </c>
      <c r="C283" s="5">
        <v>2.8156649522372845E-3</v>
      </c>
    </row>
    <row r="284" spans="1:3" x14ac:dyDescent="0.5">
      <c r="A284" s="5">
        <v>-2.8235130219465441E-3</v>
      </c>
      <c r="B284" s="5">
        <v>4.9425237510707376E-3</v>
      </c>
      <c r="C284" s="5">
        <v>5.0634994184228788E-5</v>
      </c>
    </row>
    <row r="285" spans="1:3" x14ac:dyDescent="0.5">
      <c r="A285" s="5">
        <v>7.8959363054886995E-4</v>
      </c>
      <c r="B285" s="5">
        <v>1.8658881904807245E-3</v>
      </c>
      <c r="C285" s="5">
        <v>5.6525883359999085E-3</v>
      </c>
    </row>
    <row r="286" spans="1:3" x14ac:dyDescent="0.5">
      <c r="A286" s="5">
        <v>6.3777908409438071E-3</v>
      </c>
      <c r="B286" s="5">
        <v>4.3594623938751909E-3</v>
      </c>
      <c r="C286" s="5">
        <v>1.8340949489425995E-3</v>
      </c>
    </row>
    <row r="287" spans="1:3" x14ac:dyDescent="0.5">
      <c r="A287" s="5">
        <v>4.5551681030089417E-3</v>
      </c>
      <c r="B287" s="5">
        <v>9.2483662314633008E-3</v>
      </c>
      <c r="C287" s="5">
        <v>5.348247484247004E-3</v>
      </c>
    </row>
    <row r="288" spans="1:3" x14ac:dyDescent="0.5">
      <c r="A288" s="5">
        <v>9.2382945463238136E-3</v>
      </c>
      <c r="B288" s="5">
        <v>6.1473391886108786E-3</v>
      </c>
      <c r="C288" s="5">
        <v>5.2314128670598592E-3</v>
      </c>
    </row>
    <row r="289" spans="1:3" x14ac:dyDescent="0.5">
      <c r="A289" s="5">
        <v>5.3784740435741767E-3</v>
      </c>
      <c r="B289" s="5">
        <v>2.4922839322609747E-3</v>
      </c>
      <c r="C289" s="5">
        <v>4.6924031648769571E-3</v>
      </c>
    </row>
    <row r="290" spans="1:3" x14ac:dyDescent="0.5">
      <c r="A290" s="5">
        <v>6.7193095970499699E-3</v>
      </c>
      <c r="B290" s="5">
        <v>6.8045549928132942E-3</v>
      </c>
      <c r="C290" s="5">
        <v>7.5240808541980897E-3</v>
      </c>
    </row>
    <row r="291" spans="1:3" x14ac:dyDescent="0.5">
      <c r="A291" s="5">
        <v>8.8825523564336484E-3</v>
      </c>
      <c r="B291" s="5">
        <v>5.9462644925982744E-3</v>
      </c>
      <c r="C291" s="5">
        <v>7.4373780225513997E-3</v>
      </c>
    </row>
    <row r="292" spans="1:3" x14ac:dyDescent="0.5">
      <c r="A292" s="5">
        <v>6.4943201759717212E-3</v>
      </c>
      <c r="B292" s="5">
        <v>2.3479133108450512E-3</v>
      </c>
      <c r="C292" s="5">
        <v>7.3096706438464665E-3</v>
      </c>
    </row>
    <row r="293" spans="1:3" x14ac:dyDescent="0.5">
      <c r="A293" s="5">
        <v>2.1268692361083776E-3</v>
      </c>
      <c r="B293" s="5">
        <v>-1.4124920053023793E-2</v>
      </c>
      <c r="C293" s="5">
        <v>-1.0973760994192006E-2</v>
      </c>
    </row>
    <row r="294" spans="1:3" x14ac:dyDescent="0.5">
      <c r="A294" s="5">
        <v>5.27921449249346E-3</v>
      </c>
      <c r="B294" s="5">
        <v>7.4493658569600996E-3</v>
      </c>
      <c r="C294" s="5">
        <v>4.1264116555419506E-3</v>
      </c>
    </row>
    <row r="295" spans="1:3" x14ac:dyDescent="0.5">
      <c r="A295" s="5" t="e">
        <v>#NUM!</v>
      </c>
      <c r="B295" s="5" t="e">
        <v>#NUM!</v>
      </c>
      <c r="C295" s="5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Metadata</vt:lpstr>
      <vt:lpstr>data_raw</vt:lpstr>
      <vt:lpstr>computations</vt:lpstr>
      <vt:lpstr>data_clean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Ritzinger</dc:creator>
  <cp:lastModifiedBy>Alexandre SAINT</cp:lastModifiedBy>
  <dcterms:created xsi:type="dcterms:W3CDTF">2025-12-15T14:05:37Z</dcterms:created>
  <dcterms:modified xsi:type="dcterms:W3CDTF">2025-12-18T12:29:45Z</dcterms:modified>
</cp:coreProperties>
</file>